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다른 컴퓨터\내 컴퓨터\온라인수업\대학원\jotpunrb\control_w_serial_4mot_newalgorithm\control_w_serial_4mot_ver105_debug\"/>
    </mc:Choice>
  </mc:AlternateContent>
  <xr:revisionPtr revIDLastSave="0" documentId="13_ncr:1_{489EAC46-2B84-4F3D-AA33-37488BE5C06D}" xr6:coauthVersionLast="47" xr6:coauthVersionMax="47" xr10:uidLastSave="{00000000-0000-0000-0000-000000000000}"/>
  <bookViews>
    <workbookView xWindow="2805" yWindow="2475" windowWidth="25560" windowHeight="17565" xr2:uid="{3180D60B-C9E7-4E2D-B8E6-D0DDA7A2F891}"/>
  </bookViews>
  <sheets>
    <sheet name="Sheet1" sheetId="1" r:id="rId1"/>
    <sheet name="PROGRAM" sheetId="6" r:id="rId2"/>
    <sheet name="Data In" sheetId="5" r:id="rId3"/>
    <sheet name="Data Out" sheetId="4" r:id="rId4"/>
    <sheet name="Settings" sheetId="3" r:id="rId5"/>
    <sheet name="Manifest" sheetId="2" r:id="rId6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" i="1" l="1" a="1"/>
  <c r="AA6" i="1" s="1"/>
  <c r="AB6" i="1" a="1"/>
  <c r="AB6" i="1" s="1"/>
  <c r="AB13" i="1" s="1"/>
  <c r="F13" i="1" s="1"/>
  <c r="AC6" i="1" a="1"/>
  <c r="AC6" i="1" s="1"/>
  <c r="AC13" i="1" s="1"/>
  <c r="F14" i="1" s="1"/>
  <c r="Z6" i="1" a="1"/>
  <c r="Z6" i="1" s="1"/>
  <c r="Z13" i="1" s="1"/>
  <c r="F11" i="1" s="1"/>
  <c r="C5" i="4"/>
  <c r="AC17" i="1"/>
  <c r="AB17" i="1"/>
  <c r="AA17" i="1"/>
  <c r="Z17" i="1"/>
  <c r="B5" i="4"/>
  <c r="L5" i="4"/>
  <c r="K5" i="4"/>
  <c r="J5" i="4"/>
  <c r="L23" i="1"/>
  <c r="I5" i="4"/>
  <c r="G24" i="1"/>
  <c r="A5" i="4"/>
  <c r="AA5" i="1"/>
  <c r="AB5" i="1"/>
  <c r="AC5" i="1"/>
  <c r="Z5" i="1"/>
  <c r="AK4" i="1"/>
  <c r="J16" i="1" s="1"/>
  <c r="J17" i="1" s="1"/>
  <c r="AI5" i="1"/>
  <c r="AI6" i="1"/>
  <c r="AI7" i="1"/>
  <c r="AI8" i="1"/>
  <c r="AI9" i="1"/>
  <c r="AI10" i="1"/>
  <c r="AI11" i="1"/>
  <c r="AI4" i="1"/>
  <c r="E14" i="1"/>
  <c r="E13" i="1"/>
  <c r="E12" i="1"/>
  <c r="E11" i="1"/>
  <c r="AA9" i="1"/>
  <c r="AA4" i="1" s="1"/>
  <c r="AB9" i="1"/>
  <c r="AB4" i="1" s="1"/>
  <c r="AC9" i="1"/>
  <c r="AC4" i="1" s="1"/>
  <c r="H5" i="4" s="1"/>
  <c r="Z9" i="1"/>
  <c r="Z4" i="1" s="1"/>
  <c r="E5" i="4" s="1"/>
  <c r="AE17" i="1" l="1"/>
  <c r="D5" i="4" s="1"/>
  <c r="G5" i="4"/>
  <c r="F5" i="4"/>
  <c r="AC14" i="1"/>
  <c r="AB14" i="1"/>
  <c r="Z14" i="1"/>
  <c r="G11" i="1"/>
  <c r="G13" i="1"/>
  <c r="G14" i="1"/>
  <c r="AA13" i="1"/>
  <c r="AA14" i="1" s="1"/>
  <c r="AF13" i="1" l="1" a="1"/>
  <c r="AF13" i="1" s="1"/>
  <c r="F12" i="1"/>
  <c r="G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<sst xmlns="http://schemas.openxmlformats.org/spreadsheetml/2006/main" count="154" uniqueCount="91">
  <si>
    <t>Channels</t>
  </si>
  <si>
    <t>Data Source Id</t>
  </si>
  <si>
    <t>Data Interval (ms)</t>
  </si>
  <si>
    <t>Baud Rate</t>
  </si>
  <si>
    <t>USB 직렬 장치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</si>
  <si>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</si>
  <si>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</si>
  <si>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</si>
  <si>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</si>
  <si>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</si>
  <si>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</si>
  <si>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</si>
  <si>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</si>
  <si>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</si>
  <si>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</si>
  <si>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</si>
  <si>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</si>
  <si>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</si>
  <si>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</si>
  <si>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</si>
  <si>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</si>
  <si>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</si>
  <si>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</si>
  <si>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</si>
  <si>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</si>
  <si>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</si>
  <si>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</si>
  <si>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</si>
  <si>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</si>
  <si>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</si>
  <si>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</si>
  <si>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</si>
  <si>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</si>
  <si>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</si>
  <si>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</si>
  <si>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</si>
  <si>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>TX</t>
  </si>
  <si>
    <t>pos</t>
  </si>
  <si>
    <t>p-gain</t>
  </si>
  <si>
    <t>center</t>
  </si>
  <si>
    <t>dislplay</t>
  </si>
  <si>
    <t>RX</t>
  </si>
  <si>
    <t>rx_conv</t>
  </si>
  <si>
    <t>abs_diff</t>
  </si>
  <si>
    <t>disp_warn</t>
  </si>
  <si>
    <t>tol</t>
  </si>
  <si>
    <t>modify</t>
  </si>
  <si>
    <t>Dynamixel Control Panel</t>
  </si>
  <si>
    <t>MONITOR</t>
  </si>
  <si>
    <t>No.</t>
  </si>
  <si>
    <t>Target</t>
  </si>
  <si>
    <t>Current</t>
  </si>
  <si>
    <t>Diff</t>
  </si>
  <si>
    <t>Accuracy</t>
  </si>
  <si>
    <t>incstp</t>
  </si>
  <si>
    <t>sel</t>
  </si>
  <si>
    <t>CONTROL</t>
  </si>
  <si>
    <t>STEP</t>
  </si>
  <si>
    <t>#1</t>
  </si>
  <si>
    <t>#2</t>
  </si>
  <si>
    <t>#4</t>
  </si>
  <si>
    <t>#3</t>
  </si>
  <si>
    <t>INC</t>
  </si>
  <si>
    <t>TIME INT</t>
  </si>
  <si>
    <t>PROGRAM</t>
  </si>
  <si>
    <t>deg</t>
  </si>
  <si>
    <t>PID P-GAIN</t>
  </si>
  <si>
    <t>sec</t>
  </si>
  <si>
    <t>#</t>
  </si>
  <si>
    <t>motor1</t>
  </si>
  <si>
    <t>motor2</t>
  </si>
  <si>
    <t>motor3</t>
  </si>
  <si>
    <t>motor4</t>
  </si>
  <si>
    <t>total</t>
  </si>
  <si>
    <t>steps</t>
  </si>
  <si>
    <t>tempval</t>
  </si>
  <si>
    <t>STEPS</t>
  </si>
  <si>
    <t>GEAR</t>
  </si>
  <si>
    <t>ACCELERATION</t>
  </si>
  <si>
    <t>DIR.INPUT</t>
  </si>
  <si>
    <t>MAX SPD</t>
  </si>
  <si>
    <t>r/min</t>
  </si>
  <si>
    <t>CH11</t>
  </si>
  <si>
    <t>CH12</t>
  </si>
  <si>
    <t>SPD A.MOD</t>
  </si>
  <si>
    <t>A.mod</t>
  </si>
  <si>
    <t>ACTIVATION</t>
  </si>
  <si>
    <t>DEC</t>
  </si>
  <si>
    <t>775C4DDB-4DE7-41BF-8C80-29D154718D6A</t>
  </si>
  <si>
    <t>Data In (From USB 직렬 장치 (COM6))</t>
  </si>
  <si>
    <t>{"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Commands":[],"DataInterval":150,"Id":"775C4DDB-4DE7-41BF-8C80-29D154718D6A","IsGenerated":true,"Name":"USB 직렬 장치","Version":null,"BaudRate":9600}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</si>
</sst>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h:mm:ss.00"/>
    <numFmt numFmtId="165" formatCode="&quot;FINE&quot;"/>
    <numFmt numFmtId="166" formatCode="&quot;CHECK&quot;"/>
    <numFmt numFmtId="167" formatCode="&quot;INSTANT&quot;"/>
    <numFmt numFmtId="168" formatCode="&quot;FAST&quot;"/>
    <numFmt numFmtId="169" formatCode="&quot;MEDIUM&quot;"/>
    <numFmt numFmtId="170" formatCode="&quot;SLOW&quot;"/>
    <numFmt numFmtId="171" formatCode="&quot;ACTIVE&quot;"/>
  </numFmts>
  <fonts count="3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color rgb="FF000000"/>
      <name val="Calibri"/>
      <family val="2"/>
    </font>
    <font>
      <b/>
      <sz val="11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8"/>
      <color rgb="FF00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2" fillId="6" borderId="2" xfId="0" applyFont="1" applyFill="1" applyBorder="1" applyAlignment="1" applyProtection="1">
      <alignment horizontal="left" vertical="center" indent="1"/>
      <protection locked="0"/>
    </xf>
    <xf numFmtId="0" fontId="7" fillId="6" borderId="3" xfId="0" applyFont="1" applyFill="1" applyBorder="1" applyAlignment="1" applyProtection="1">
      <alignment horizontal="left" vertical="center" indent="1"/>
      <protection locked="0"/>
    </xf>
    <xf numFmtId="0" fontId="12" fillId="6" borderId="4" xfId="0" applyFont="1" applyFill="1" applyBorder="1" applyAlignment="1" applyProtection="1">
      <alignment horizontal="left" vertical="center" indent="1"/>
      <protection locked="0"/>
    </xf>
    <xf numFmtId="0" fontId="7" fillId="6" borderId="5" xfId="0" applyFont="1" applyFill="1" applyBorder="1" applyAlignment="1" applyProtection="1">
      <alignment horizontal="left" vertical="center" indent="1"/>
      <protection locked="0"/>
    </xf>
    <xf numFmtId="0" fontId="7" fillId="6" borderId="6" xfId="0" applyFont="1" applyFill="1" applyBorder="1" applyAlignment="1" applyProtection="1">
      <alignment horizontal="left" vertical="center" indent="1"/>
      <protection locked="0"/>
    </xf>
    <xf numFmtId="0" fontId="7" fillId="6" borderId="7" xfId="0" applyFont="1" applyFill="1" applyBorder="1" applyAlignment="1" applyProtection="1">
      <alignment horizontal="left" vertical="center" indent="1"/>
      <protection locked="0"/>
    </xf>
    <xf numFmtId="0" fontId="7" fillId="6" borderId="9" xfId="0" applyFont="1" applyFill="1" applyBorder="1" applyAlignment="1" applyProtection="1">
      <alignment horizontal="left" vertical="center" indent="1"/>
      <protection locked="0"/>
    </xf>
    <xf numFmtId="0" fontId="12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3" fillId="7" borderId="0" xfId="0" applyFont="1" applyFill="1" applyAlignment="1" applyProtection="1">
      <alignment horizontal="left" vertical="center" indent="1"/>
      <protection locked="0"/>
    </xf>
    <xf numFmtId="0" fontId="7" fillId="2" borderId="10" xfId="0" applyFont="1" applyFill="1" applyBorder="1" applyAlignment="1" applyProtection="1">
      <alignment horizontal="left" vertical="center" indent="1"/>
      <protection locked="0"/>
    </xf>
    <xf numFmtId="0" fontId="16" fillId="9" borderId="13" xfId="0" applyFont="1" applyFill="1" applyBorder="1" applyAlignment="1" applyProtection="1">
      <alignment horizontal="right" vertical="center" indent="1"/>
      <protection locked="0"/>
    </xf>
    <xf numFmtId="0" fontId="11" fillId="10" borderId="0" xfId="0" applyFont="1" applyFill="1" applyAlignment="1">
      <alignment horizontal="center" vertical="center"/>
    </xf>
    <xf numFmtId="0" fontId="16" fillId="11" borderId="14" xfId="0" applyFont="1" applyFill="1" applyBorder="1" applyAlignment="1" applyProtection="1">
      <alignment horizontal="right" vertical="center" indent="1"/>
      <protection locked="0"/>
    </xf>
    <xf numFmtId="164" fontId="16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6" fillId="12" borderId="16" xfId="0" applyFont="1" applyFill="1" applyBorder="1" applyAlignment="1" applyProtection="1">
      <alignment horizontal="right" vertical="center" indent="1"/>
      <protection locked="0"/>
    </xf>
    <xf numFmtId="0" fontId="16" fillId="12" borderId="17" xfId="0" applyFont="1" applyFill="1" applyBorder="1" applyAlignment="1" applyProtection="1">
      <alignment horizontal="right" vertical="center" indent="1"/>
      <protection locked="0"/>
    </xf>
    <xf numFmtId="164" fontId="16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6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6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6" fillId="13" borderId="17" xfId="0" applyFont="1" applyFill="1" applyBorder="1" applyAlignment="1" applyProtection="1">
      <alignment horizontal="right" vertical="center" indent="1"/>
      <protection locked="0"/>
    </xf>
    <xf numFmtId="0" fontId="2" fillId="14" borderId="0" xfId="0" applyFont="1" applyFill="1"/>
    <xf numFmtId="0" fontId="2" fillId="14" borderId="0" xfId="0" applyFont="1" applyFill="1" applyAlignment="1">
      <alignment horizontal="right"/>
    </xf>
    <xf numFmtId="0" fontId="2" fillId="14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right" vertical="center"/>
    </xf>
    <xf numFmtId="0" fontId="18" fillId="14" borderId="0" xfId="0" applyFont="1" applyFill="1" applyAlignment="1">
      <alignment horizontal="center" vertical="center"/>
    </xf>
    <xf numFmtId="0" fontId="18" fillId="14" borderId="0" xfId="0" applyFont="1" applyFill="1"/>
    <xf numFmtId="0" fontId="2" fillId="14" borderId="0" xfId="0" applyFont="1" applyFill="1" applyAlignment="1">
      <alignment horizontal="center"/>
    </xf>
    <xf numFmtId="0" fontId="23" fillId="14" borderId="0" xfId="0" applyFont="1" applyFill="1" applyAlignment="1">
      <alignment vertical="center"/>
    </xf>
    <xf numFmtId="165" fontId="25" fillId="14" borderId="0" xfId="0" applyNumberFormat="1" applyFont="1" applyFill="1" applyAlignment="1">
      <alignment horizontal="center" vertical="center"/>
    </xf>
    <xf numFmtId="166" fontId="25" fillId="14" borderId="0" xfId="0" applyNumberFormat="1" applyFont="1" applyFill="1" applyAlignment="1">
      <alignment horizontal="center" vertical="center"/>
    </xf>
    <xf numFmtId="0" fontId="2" fillId="14" borderId="0" xfId="0" applyFont="1" applyFill="1" applyAlignment="1">
      <alignment horizontal="left"/>
    </xf>
    <xf numFmtId="0" fontId="1" fillId="14" borderId="0" xfId="0" applyFont="1" applyFill="1" applyAlignment="1">
      <alignment horizontal="center" vertical="center"/>
    </xf>
    <xf numFmtId="0" fontId="20" fillId="14" borderId="0" xfId="0" applyFont="1" applyFill="1" applyAlignment="1">
      <alignment vertical="center"/>
    </xf>
    <xf numFmtId="0" fontId="19" fillId="14" borderId="0" xfId="0" applyFont="1" applyFill="1" applyAlignment="1">
      <alignment horizontal="center"/>
    </xf>
    <xf numFmtId="0" fontId="24" fillId="14" borderId="0" xfId="0" applyFont="1" applyFill="1" applyAlignment="1">
      <alignment horizontal="center"/>
    </xf>
    <xf numFmtId="0" fontId="28" fillId="14" borderId="0" xfId="0" applyFont="1" applyFill="1"/>
    <xf numFmtId="0" fontId="29" fillId="14" borderId="0" xfId="0" applyFont="1" applyFill="1"/>
    <xf numFmtId="0" fontId="24" fillId="14" borderId="0" xfId="0" applyFont="1" applyFill="1" applyAlignment="1">
      <alignment vertical="top"/>
    </xf>
    <xf numFmtId="171" fontId="31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 vertical="center"/>
    </xf>
    <xf numFmtId="0" fontId="20" fillId="14" borderId="0" xfId="0" applyFont="1" applyFill="1" applyAlignment="1">
      <alignment horizontal="center" vertical="center"/>
    </xf>
    <xf numFmtId="0" fontId="26" fillId="14" borderId="0" xfId="0" applyFont="1" applyFill="1" applyAlignment="1">
      <alignment horizontal="center"/>
    </xf>
    <xf numFmtId="0" fontId="24" fillId="14" borderId="0" xfId="0" applyFont="1" applyFill="1" applyAlignment="1">
      <alignment horizontal="center" vertical="top"/>
    </xf>
    <xf numFmtId="0" fontId="24" fillId="14" borderId="0" xfId="0" applyFont="1" applyFill="1" applyAlignment="1">
      <alignment horizontal="center" vertical="center"/>
    </xf>
    <xf numFmtId="167" fontId="1" fillId="14" borderId="0" xfId="0" applyNumberFormat="1" applyFont="1" applyFill="1" applyAlignment="1">
      <alignment horizontal="center" vertical="center"/>
    </xf>
    <xf numFmtId="168" fontId="1" fillId="14" borderId="0" xfId="0" applyNumberFormat="1" applyFont="1" applyFill="1" applyAlignment="1">
      <alignment horizontal="center" vertical="center"/>
    </xf>
    <xf numFmtId="169" fontId="1" fillId="14" borderId="0" xfId="0" applyNumberFormat="1" applyFont="1" applyFill="1" applyAlignment="1">
      <alignment horizontal="center" vertical="center"/>
    </xf>
    <xf numFmtId="170" fontId="1" fillId="14" borderId="0" xfId="0" applyNumberFormat="1" applyFont="1" applyFill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32" fillId="14" borderId="0" xfId="0" applyFont="1" applyFill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vertical="top" wrapText="1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left" vertical="top" wrapText="1" indent="1"/>
    </xf>
    <xf numFmtId="0" fontId="8" fillId="7" borderId="0" xfId="0" applyFont="1" applyFill="1" applyAlignment="1" applyProtection="1">
      <alignment horizontal="left" indent="1"/>
      <protection locked="0"/>
    </xf>
    <xf numFmtId="0" fontId="9" fillId="7" borderId="0" xfId="0" applyFont="1" applyFill="1" applyAlignment="1" applyProtection="1">
      <alignment horizontal="left" vertical="top" wrapText="1" indent="1"/>
      <protection locked="0"/>
    </xf>
    <xf numFmtId="0" fontId="14" fillId="7" borderId="0" xfId="0" applyFont="1" applyFill="1" applyAlignment="1" applyProtection="1">
      <alignment horizontal="left" vertical="center" wrapText="1" indent="1"/>
      <protection locked="0"/>
    </xf>
    <xf numFmtId="0" fontId="8" fillId="2" borderId="0" xfId="0" applyFont="1" applyFill="1" applyAlignment="1" applyProtection="1">
      <alignment horizontal="left" indent="1"/>
      <protection locked="0"/>
    </xf>
    <xf numFmtId="0" fontId="9" fillId="2" borderId="0" xfId="0" applyFont="1" applyFill="1" applyAlignment="1" applyProtection="1">
      <alignment horizontal="left" vertical="top" wrapText="1" indent="1"/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4" fillId="2" borderId="0" xfId="0" applyFont="1" applyFill="1" applyAlignment="1" applyProtection="1">
      <alignment horizontal="left" indent="1"/>
      <protection locked="0"/>
    </xf>
    <xf numFmtId="0" fontId="10" fillId="4" borderId="1" xfId="0" applyFont="1" applyFill="1" applyBorder="1" applyAlignment="1" applyProtection="1">
      <alignment horizontal="left" vertical="center" indent="1"/>
      <protection locked="0"/>
    </xf>
    <xf numFmtId="0" fontId="5" fillId="2" borderId="0" xfId="0" applyFont="1" applyFill="1" applyAlignment="1" applyProtection="1">
      <alignment horizontal="left"/>
    </xf>
    <xf numFmtId="0" fontId="6" fillId="2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 vertical="center" indent="1"/>
    </xf>
    <xf numFmtId="0" fontId="7" fillId="3" borderId="0" xfId="0" applyFont="1" applyFill="1" applyAlignment="1" applyProtection="1">
      <alignment horizontal="left" vertical="center" indent="1"/>
    </xf>
    <xf numFmtId="0" fontId="10" fillId="4" borderId="0" xfId="0" applyFont="1" applyFill="1" applyBorder="1" applyAlignment="1" applyProtection="1">
      <alignment horizontal="left" vertical="center" indent="1"/>
      <protection locked="0"/>
    </xf>
    <xf numFmtId="0" fontId="7" fillId="6" borderId="0" xfId="0" applyFont="1" applyFill="1" applyBorder="1" applyAlignment="1" applyProtection="1">
      <alignment horizontal="left" vertical="center" indent="1"/>
      <protection locked="0"/>
    </xf>
    <xf numFmtId="0" fontId="6" fillId="7" borderId="0" xfId="0" applyFont="1" applyFill="1" applyAlignment="1" applyProtection="1">
      <alignment horizontal="left" vertical="center" indent="1"/>
    </xf>
    <xf numFmtId="0" fontId="15" fillId="8" borderId="11" xfId="0" applyFont="1" applyFill="1" applyBorder="1" applyAlignment="1" applyProtection="1">
      <alignment horizontal="center" vertical="center"/>
    </xf>
    <xf numFmtId="0" fontId="15" fillId="8" borderId="12" xfId="0" applyFont="1" applyFill="1" applyBorder="1" applyAlignment="1" applyProtection="1">
      <alignment horizontal="center" vertical="center"/>
    </xf>
    <xf numFmtId="0" fontId="17" fillId="2" borderId="0" xfId="0" applyFont="1" applyFill="1" applyAlignment="1" applyProtection="1">
      <alignment horizontal="left" indent="1"/>
    </xf>
    <xf numFmtId="0" fontId="17" fillId="2" borderId="15" xfId="0" applyFont="1" applyFill="1" applyBorder="1" applyAlignment="1" applyProtection="1">
      <alignment horizontal="left" indent="1"/>
    </xf>
  </cellXfs>
  <cellStyles count="1">
    <cellStyle name="Normal" xfId="0" builtinId="0"/>
  </cellStyles>
  <dxfs count="33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 val="double"/>
        <color rgb="FFFF0000"/>
      </font>
      <fill>
        <patternFill patternType="darkUp">
          <fgColor rgb="FFFF9F9F"/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A93C55EF-6B19-4178-9CF1-C38C939E4142}"/>
  </tableStyles>
  <colors>
    <mruColors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AK$3" max="8" min="1" page="10" val="8"/>
</file>

<file path=xl/ctrlProps/ctrlProp2.xml><?xml version="1.0" encoding="utf-8"?>
<formControlPr xmlns="http://schemas.microsoft.com/office/spreadsheetml/2009/9/main" objectType="CheckBox" checked="Checked" fmlaLink="$H$11" lockText="1" noThreeD="1"/>
</file>

<file path=xl/ctrlProps/ctrlProp3.xml><?xml version="1.0" encoding="utf-8"?>
<formControlPr xmlns="http://schemas.microsoft.com/office/spreadsheetml/2009/9/main" objectType="CheckBox" checked="Checked" fmlaLink="$H$12" lockText="1" noThreeD="1"/>
</file>

<file path=xl/ctrlProps/ctrlProp4.xml><?xml version="1.0" encoding="utf-8"?>
<formControlPr xmlns="http://schemas.microsoft.com/office/spreadsheetml/2009/9/main" objectType="CheckBox" fmlaLink="$H$13" lockText="1" noThreeD="1"/>
</file>

<file path=xl/ctrlProps/ctrlProp5.xml><?xml version="1.0" encoding="utf-8"?>
<formControlPr xmlns="http://schemas.microsoft.com/office/spreadsheetml/2009/9/main" objectType="CheckBox" fmlaLink="$H$14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2" fmlaLink="$V$7" max="4" min="1" page="10" val="4"/>
</file>

<file path=xl/ctrlProps/ctrlProp8.xml><?xml version="1.0" encoding="utf-8"?>
<formControlPr xmlns="http://schemas.microsoft.com/office/spreadsheetml/2009/9/main" objectType="CheckBox" checked="Checked" fmlaLink="$V$10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308740</xdr:colOff>
      <xdr:row>15</xdr:row>
      <xdr:rowOff>0</xdr:rowOff>
    </xdr:from>
    <xdr:to>
      <xdr:col>13</xdr:col>
      <xdr:colOff>335018</xdr:colOff>
      <xdr:row>17</xdr:row>
      <xdr:rowOff>26277</xdr:rowOff>
    </xdr:to>
    <xdr:sp macro="[0]!gotocen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28792" y="3133397"/>
          <a:ext cx="1248105" cy="486104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CENTER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15</xdr:row>
          <xdr:rowOff>0</xdr:rowOff>
        </xdr:from>
        <xdr:to>
          <xdr:col>11</xdr:col>
          <xdr:colOff>219075</xdr:colOff>
          <xdr:row>17</xdr:row>
          <xdr:rowOff>28575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136070</xdr:colOff>
      <xdr:row>10</xdr:row>
      <xdr:rowOff>21771</xdr:rowOff>
    </xdr:from>
    <xdr:to>
      <xdr:col>9</xdr:col>
      <xdr:colOff>587828</xdr:colOff>
      <xdr:row>10</xdr:row>
      <xdr:rowOff>234043</xdr:rowOff>
    </xdr:to>
    <xdr:sp macro="[0]!motor1incup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22470" y="2024742"/>
          <a:ext cx="451758" cy="21227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UP</a:t>
          </a:r>
        </a:p>
      </xdr:txBody>
    </xdr:sp>
    <xdr:clientData/>
  </xdr:twoCellAnchor>
  <xdr:twoCellAnchor>
    <xdr:from>
      <xdr:col>9</xdr:col>
      <xdr:colOff>136070</xdr:colOff>
      <xdr:row>11</xdr:row>
      <xdr:rowOff>32556</xdr:rowOff>
    </xdr:from>
    <xdr:to>
      <xdr:col>9</xdr:col>
      <xdr:colOff>587828</xdr:colOff>
      <xdr:row>12</xdr:row>
      <xdr:rowOff>7601</xdr:rowOff>
    </xdr:to>
    <xdr:sp macro="[0]!motor2incu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635410" y="2268235"/>
          <a:ext cx="451758" cy="21227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UP</a:t>
          </a:r>
        </a:p>
      </xdr:txBody>
    </xdr:sp>
    <xdr:clientData/>
  </xdr:twoCellAnchor>
  <xdr:twoCellAnchor>
    <xdr:from>
      <xdr:col>9</xdr:col>
      <xdr:colOff>136071</xdr:colOff>
      <xdr:row>12</xdr:row>
      <xdr:rowOff>41696</xdr:rowOff>
    </xdr:from>
    <xdr:to>
      <xdr:col>9</xdr:col>
      <xdr:colOff>587829</xdr:colOff>
      <xdr:row>13</xdr:row>
      <xdr:rowOff>14482</xdr:rowOff>
    </xdr:to>
    <xdr:sp macro="[0]!motor3incup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635411" y="2514602"/>
          <a:ext cx="451758" cy="21001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UP</a:t>
          </a:r>
        </a:p>
      </xdr:txBody>
    </xdr:sp>
    <xdr:clientData/>
  </xdr:twoCellAnchor>
  <xdr:twoCellAnchor>
    <xdr:from>
      <xdr:col>9</xdr:col>
      <xdr:colOff>145108</xdr:colOff>
      <xdr:row>13</xdr:row>
      <xdr:rowOff>43544</xdr:rowOff>
    </xdr:from>
    <xdr:to>
      <xdr:col>9</xdr:col>
      <xdr:colOff>596866</xdr:colOff>
      <xdr:row>14</xdr:row>
      <xdr:rowOff>16331</xdr:rowOff>
    </xdr:to>
    <xdr:sp macro="[0]!motor4inc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644448" y="2753676"/>
          <a:ext cx="451758" cy="210013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UP</a:t>
          </a:r>
        </a:p>
      </xdr:txBody>
    </xdr:sp>
    <xdr:clientData/>
  </xdr:twoCellAnchor>
  <xdr:twoCellAnchor>
    <xdr:from>
      <xdr:col>10</xdr:col>
      <xdr:colOff>10884</xdr:colOff>
      <xdr:row>10</xdr:row>
      <xdr:rowOff>21771</xdr:rowOff>
    </xdr:from>
    <xdr:to>
      <xdr:col>10</xdr:col>
      <xdr:colOff>462642</xdr:colOff>
      <xdr:row>10</xdr:row>
      <xdr:rowOff>234043</xdr:rowOff>
    </xdr:to>
    <xdr:sp macro="[0]!motor1incd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106884" y="2024742"/>
          <a:ext cx="451758" cy="21227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DN</a:t>
          </a:r>
        </a:p>
      </xdr:txBody>
    </xdr:sp>
    <xdr:clientData/>
  </xdr:twoCellAnchor>
  <xdr:twoCellAnchor>
    <xdr:from>
      <xdr:col>10</xdr:col>
      <xdr:colOff>14478</xdr:colOff>
      <xdr:row>11</xdr:row>
      <xdr:rowOff>32555</xdr:rowOff>
    </xdr:from>
    <xdr:to>
      <xdr:col>10</xdr:col>
      <xdr:colOff>466236</xdr:colOff>
      <xdr:row>12</xdr:row>
      <xdr:rowOff>7600</xdr:rowOff>
    </xdr:to>
    <xdr:sp macro="[0]!motor2incd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24855" y="2268234"/>
          <a:ext cx="451758" cy="21227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DN</a:t>
          </a:r>
        </a:p>
      </xdr:txBody>
    </xdr:sp>
    <xdr:clientData/>
  </xdr:twoCellAnchor>
  <xdr:twoCellAnchor>
    <xdr:from>
      <xdr:col>10</xdr:col>
      <xdr:colOff>18072</xdr:colOff>
      <xdr:row>12</xdr:row>
      <xdr:rowOff>43337</xdr:rowOff>
    </xdr:from>
    <xdr:to>
      <xdr:col>10</xdr:col>
      <xdr:colOff>469830</xdr:colOff>
      <xdr:row>13</xdr:row>
      <xdr:rowOff>18383</xdr:rowOff>
    </xdr:to>
    <xdr:sp macro="[0]!motor3incd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128449" y="2516243"/>
          <a:ext cx="451758" cy="21227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DN</a:t>
          </a:r>
        </a:p>
      </xdr:txBody>
    </xdr:sp>
    <xdr:clientData/>
  </xdr:twoCellAnchor>
  <xdr:twoCellAnchor>
    <xdr:from>
      <xdr:col>10</xdr:col>
      <xdr:colOff>14478</xdr:colOff>
      <xdr:row>13</xdr:row>
      <xdr:rowOff>43337</xdr:rowOff>
    </xdr:from>
    <xdr:to>
      <xdr:col>10</xdr:col>
      <xdr:colOff>466236</xdr:colOff>
      <xdr:row>14</xdr:row>
      <xdr:rowOff>18383</xdr:rowOff>
    </xdr:to>
    <xdr:sp macro="[0]!motor4incd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124855" y="2753469"/>
          <a:ext cx="451758" cy="212272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9</xdr:row>
          <xdr:rowOff>228600</xdr:rowOff>
        </xdr:from>
        <xdr:to>
          <xdr:col>7</xdr:col>
          <xdr:colOff>495300</xdr:colOff>
          <xdr:row>11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11</xdr:row>
          <xdr:rowOff>9525</xdr:rowOff>
        </xdr:from>
        <xdr:to>
          <xdr:col>7</xdr:col>
          <xdr:colOff>495300</xdr:colOff>
          <xdr:row>12</xdr:row>
          <xdr:rowOff>19050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12</xdr:row>
          <xdr:rowOff>9525</xdr:rowOff>
        </xdr:from>
        <xdr:to>
          <xdr:col>7</xdr:col>
          <xdr:colOff>495300</xdr:colOff>
          <xdr:row>13</xdr:row>
          <xdr:rowOff>28575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13</xdr:row>
          <xdr:rowOff>38100</xdr:rowOff>
        </xdr:from>
        <xdr:to>
          <xdr:col>7</xdr:col>
          <xdr:colOff>495300</xdr:colOff>
          <xdr:row>14</xdr:row>
          <xdr:rowOff>47625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456541</xdr:colOff>
      <xdr:row>12</xdr:row>
      <xdr:rowOff>78828</xdr:rowOff>
    </xdr:from>
    <xdr:to>
      <xdr:col>18</xdr:col>
      <xdr:colOff>607630</xdr:colOff>
      <xdr:row>14</xdr:row>
      <xdr:rowOff>91966</xdr:rowOff>
    </xdr:to>
    <xdr:sp macro="[0]!program_clear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231162" y="2548759"/>
          <a:ext cx="1372916" cy="486104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</a:t>
          </a:r>
        </a:p>
      </xdr:txBody>
    </xdr:sp>
    <xdr:clientData/>
  </xdr:twoCellAnchor>
  <xdr:twoCellAnchor>
    <xdr:from>
      <xdr:col>14</xdr:col>
      <xdr:colOff>134662</xdr:colOff>
      <xdr:row>12</xdr:row>
      <xdr:rowOff>72259</xdr:rowOff>
    </xdr:from>
    <xdr:to>
      <xdr:col>16</xdr:col>
      <xdr:colOff>285750</xdr:colOff>
      <xdr:row>14</xdr:row>
      <xdr:rowOff>85397</xdr:rowOff>
    </xdr:to>
    <xdr:sp macro="[0]!program_writ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687455" y="2542190"/>
          <a:ext cx="1372916" cy="486104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14</xdr:row>
          <xdr:rowOff>133350</xdr:rowOff>
        </xdr:from>
        <xdr:to>
          <xdr:col>19</xdr:col>
          <xdr:colOff>9525</xdr:colOff>
          <xdr:row>16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9</xdr:row>
          <xdr:rowOff>228600</xdr:rowOff>
        </xdr:from>
        <xdr:to>
          <xdr:col>13</xdr:col>
          <xdr:colOff>381000</xdr:colOff>
          <xdr:row>14</xdr:row>
          <xdr:rowOff>0</xdr:rowOff>
        </xdr:to>
        <xdr:sp macro="" textlink="">
          <xdr:nvSpPr>
            <xdr:cNvPr id="5131" name="Spinner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18</xdr:col>
      <xdr:colOff>607216</xdr:colOff>
      <xdr:row>18</xdr:row>
      <xdr:rowOff>136923</xdr:rowOff>
    </xdr:from>
    <xdr:to>
      <xdr:col>19</xdr:col>
      <xdr:colOff>591823</xdr:colOff>
      <xdr:row>21</xdr:row>
      <xdr:rowOff>50091</xdr:rowOff>
    </xdr:to>
    <xdr:sp macro="[0]!dirinpu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584779" y="3929064"/>
          <a:ext cx="591825" cy="484668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21</xdr:row>
          <xdr:rowOff>171450</xdr:rowOff>
        </xdr:from>
        <xdr:to>
          <xdr:col>12</xdr:col>
          <xdr:colOff>352425</xdr:colOff>
          <xdr:row>23</xdr:row>
          <xdr:rowOff>28575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12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0</xdr:row>
      <xdr:rowOff>0</xdr:rowOff>
    </xdr:from>
    <xdr:to>
      <xdr:col>10</xdr:col>
      <xdr:colOff>381000</xdr:colOff>
      <xdr:row>3</xdr:row>
      <xdr:rowOff>95250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29050" y="0"/>
          <a:ext cx="2647950" cy="666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GO TO MAIN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EB559D-7E46-B3D4-18EC-97927AC53752}"/>
            </a:ext>
          </a:extLst>
        </xdr:cNvPr>
        <xdr:cNvSpPr/>
      </xdr:nvSpPr>
      <xdr:spPr>
        <a:xfrm>
          <a:off x="8124825" y="553402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8A7D1C-00B0-4F58-AAB3-5C0033017AC9}" name="TBL_CUR" displayName="TBL_CUR" ref="A4:K5" totalsRowShown="0" headerRowDxfId="32" dataDxfId="30">
  <autoFilter ref="A4:K5" xr:uid="{AD8A7D1C-00B0-4F58-AAB3-5C0033017A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5" xr3:uid="{75985FFD-49BD-4219-BA39-85710CD1E448}" name="TIME" dataDxfId="19"/>
    <tableColumn id="6" xr3:uid="{2E44A3E7-0661-46F3-92E4-F64C94806336}" name="CH1" dataDxfId="20"/>
    <tableColumn id="7" xr3:uid="{5036886B-B6C8-4D53-95C1-B2DEAD9A3864}" name="CH2" dataDxfId="29"/>
    <tableColumn id="8" xr3:uid="{6F04B153-D531-4997-B945-2C533B4C29EA}" name="CH3" dataDxfId="28"/>
    <tableColumn id="9" xr3:uid="{B5413819-DC72-4818-B30D-2EEB4AF965AE}" name="CH4" dataDxfId="27"/>
    <tableColumn id="10" xr3:uid="{F6BA8DD1-060D-42B9-8B76-39A60F4ABD7F}" name="CH5" dataDxfId="26"/>
    <tableColumn id="11" xr3:uid="{A39E06D8-F85C-46AA-BBD0-35C1914A54CC}" name="CH6" dataDxfId="25"/>
    <tableColumn id="12" xr3:uid="{3AC68B43-8090-454A-BF85-7209978FA14B}" name="CH7" dataDxfId="24"/>
    <tableColumn id="13" xr3:uid="{75350CB2-5370-45E1-98B7-4D6E22D40A92}" name="CH8" dataDxfId="23"/>
    <tableColumn id="1" xr3:uid="{05204070-C85A-4CC8-835F-1452DAB59DBF}" name="CH9" dataDxfId="22"/>
    <tableColumn id="2" xr3:uid="{C794A8D1-2850-4943-ABC1-BB7B82803970}" name="CH10" dataDxfId="21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09C051-71FA-4FC5-97A6-EC6642777E9F}" name="TBL_HST" displayName="TBL_HST" ref="A7:K22" totalsRowShown="0" headerRowDxfId="31" dataDxfId="11">
  <autoFilter ref="A7:K22" xr:uid="{2109C051-71FA-4FC5-97A6-EC6642777E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5" xr3:uid="{AA38BC24-A277-4694-AE93-CEDED0CF993A}" name="TIME" dataDxfId="0"/>
    <tableColumn id="6" xr3:uid="{6312DAEF-CA9E-4D34-ADCD-6E6B888076D1}" name="CH1" dataDxfId="1"/>
    <tableColumn id="7" xr3:uid="{2CF6AF3E-DB71-4C5E-8266-1C90276E0E8D}" name="CH2" dataDxfId="10"/>
    <tableColumn id="8" xr3:uid="{924D0438-552A-4AF3-9A0E-F6DC3A3B9125}" name="CH3" dataDxfId="9"/>
    <tableColumn id="9" xr3:uid="{343CAA8D-A7C3-47A8-B1E2-5F169039631E}" name="CH4" dataDxfId="8"/>
    <tableColumn id="10" xr3:uid="{793FFA74-0BEE-4AFB-A606-8ADED61AC35B}" name="CH5" dataDxfId="7"/>
    <tableColumn id="11" xr3:uid="{D8A7DE7D-4AEC-4358-B8A2-788FE558D5CA}" name="CH6" dataDxfId="6"/>
    <tableColumn id="12" xr3:uid="{84A51381-784D-4715-8D98-08B47D782F66}" name="CH7" dataDxfId="5"/>
    <tableColumn id="13" xr3:uid="{24B1FC62-3DBB-46AE-B17A-D491E78AA6B1}" name="CH8" dataDxfId="4"/>
    <tableColumn id="1" xr3:uid="{171157CB-2A87-4E2F-A33E-1FD4525AD687}" name="CH9" dataDxfId="3"/>
    <tableColumn id="2" xr3:uid="{CE9599E3-F813-4435-8560-AB5303B6BAF1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96381-F82A-4B16-80F5-D36F59E0D345}">
  <sheetPr codeName="Sheet1"/>
  <dimension ref="A1:AK35"/>
  <sheetViews>
    <sheetView tabSelected="1" zoomScale="130" zoomScaleNormal="130" workbookViewId="0">
      <selection activeCell="AE6" sqref="AE6"/>
    </sheetView>
  </sheetViews>
  <sheetFormatPr defaultRowHeight="15" x14ac:dyDescent="0.25"/>
  <cols>
    <col min="5" max="5" width="9.85546875" bestFit="1" customWidth="1"/>
  </cols>
  <sheetData>
    <row r="1" spans="1:37" x14ac:dyDescent="0.25">
      <c r="A1" s="44" t="s">
        <v>47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</row>
    <row r="2" spans="1:37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37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Y3" t="s">
        <v>36</v>
      </c>
      <c r="Z3">
        <v>1</v>
      </c>
      <c r="AA3">
        <v>2</v>
      </c>
      <c r="AB3">
        <v>3</v>
      </c>
      <c r="AC3">
        <v>4</v>
      </c>
      <c r="AH3" t="s">
        <v>54</v>
      </c>
      <c r="AJ3" t="s">
        <v>55</v>
      </c>
      <c r="AK3">
        <v>8</v>
      </c>
    </row>
    <row r="4" spans="1:37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Y4" t="s">
        <v>37</v>
      </c>
      <c r="Z4">
        <f>Z9</f>
        <v>2048</v>
      </c>
      <c r="AA4">
        <f t="shared" ref="AA4:AC4" si="0">AA9</f>
        <v>2048</v>
      </c>
      <c r="AB4">
        <f t="shared" si="0"/>
        <v>2048</v>
      </c>
      <c r="AC4">
        <f t="shared" si="0"/>
        <v>2048</v>
      </c>
      <c r="AH4">
        <v>1</v>
      </c>
      <c r="AI4">
        <f>2^(AH4+2)</f>
        <v>8</v>
      </c>
      <c r="AK4">
        <f>VLOOKUP(AK3,AH4:AI11,2)</f>
        <v>1024</v>
      </c>
    </row>
    <row r="5" spans="1:37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Y5" t="s">
        <v>38</v>
      </c>
      <c r="Z5">
        <f>H20</f>
        <v>1600</v>
      </c>
      <c r="AA5">
        <f t="shared" ref="AA5:AC5" si="1">I20</f>
        <v>1600</v>
      </c>
      <c r="AB5">
        <f t="shared" si="1"/>
        <v>1600</v>
      </c>
      <c r="AC5">
        <f t="shared" si="1"/>
        <v>1600</v>
      </c>
      <c r="AH5">
        <v>2</v>
      </c>
      <c r="AI5">
        <f t="shared" ref="AI5:AI11" si="2">2^(AH5+2)</f>
        <v>16</v>
      </c>
    </row>
    <row r="6" spans="1:37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V6" t="s">
        <v>77</v>
      </c>
      <c r="Y6" t="s">
        <v>41</v>
      </c>
      <c r="Z6" cm="1">
        <f t="array" ref="Z6">TBL_CUR[CH4]</f>
        <v>2048</v>
      </c>
      <c r="AA6" cm="1">
        <f t="array" ref="AA6">TBL_CUR[CH5]</f>
        <v>2048</v>
      </c>
      <c r="AB6" cm="1">
        <f t="array" ref="AB6">TBL_CUR[CH6]</f>
        <v>0</v>
      </c>
      <c r="AC6" cm="1">
        <f t="array" ref="AC6">TBL_CUR[CH7]</f>
        <v>0</v>
      </c>
      <c r="AH6">
        <v>3</v>
      </c>
      <c r="AI6">
        <f t="shared" si="2"/>
        <v>32</v>
      </c>
    </row>
    <row r="7" spans="1:37" ht="15" customHeight="1" x14ac:dyDescent="0.25">
      <c r="A7" s="25"/>
      <c r="B7" s="25"/>
      <c r="C7" s="37"/>
      <c r="D7" s="45" t="s">
        <v>48</v>
      </c>
      <c r="E7" s="45"/>
      <c r="F7" s="45"/>
      <c r="G7" s="45"/>
      <c r="H7" s="45"/>
      <c r="I7" s="45" t="s">
        <v>56</v>
      </c>
      <c r="J7" s="45"/>
      <c r="K7" s="45"/>
      <c r="L7" s="45"/>
      <c r="M7" s="45"/>
      <c r="N7" s="45"/>
      <c r="O7" s="45"/>
      <c r="P7" s="45"/>
      <c r="Q7" s="45"/>
      <c r="R7" s="25"/>
      <c r="S7" s="25"/>
      <c r="T7" s="25"/>
      <c r="V7">
        <v>4</v>
      </c>
      <c r="AH7">
        <v>4</v>
      </c>
      <c r="AI7">
        <f t="shared" si="2"/>
        <v>64</v>
      </c>
    </row>
    <row r="8" spans="1:37" ht="15" customHeight="1" x14ac:dyDescent="0.25">
      <c r="A8" s="25"/>
      <c r="B8" s="25"/>
      <c r="C8" s="37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25"/>
      <c r="S8" s="25"/>
      <c r="T8" s="25"/>
      <c r="Y8" t="s">
        <v>37</v>
      </c>
      <c r="Z8">
        <v>1</v>
      </c>
      <c r="AA8">
        <v>2</v>
      </c>
      <c r="AB8">
        <v>3</v>
      </c>
      <c r="AC8">
        <v>4</v>
      </c>
      <c r="AH8">
        <v>5</v>
      </c>
      <c r="AI8">
        <f t="shared" si="2"/>
        <v>128</v>
      </c>
    </row>
    <row r="9" spans="1:37" ht="18.75" customHeight="1" x14ac:dyDescent="0.25">
      <c r="A9" s="25"/>
      <c r="B9" s="25"/>
      <c r="C9" s="25"/>
      <c r="D9" s="25"/>
      <c r="E9" s="25"/>
      <c r="F9" s="25"/>
      <c r="G9" s="25"/>
      <c r="H9" s="25"/>
      <c r="I9" s="27"/>
      <c r="J9" s="47" t="s">
        <v>57</v>
      </c>
      <c r="K9" s="47"/>
      <c r="L9" s="48" t="s">
        <v>78</v>
      </c>
      <c r="M9" s="48"/>
      <c r="N9" s="48"/>
      <c r="O9" s="48" t="s">
        <v>64</v>
      </c>
      <c r="P9" s="48"/>
      <c r="Q9" s="48"/>
      <c r="R9" s="48"/>
      <c r="S9" s="48"/>
      <c r="T9" s="25"/>
      <c r="V9" t="s">
        <v>85</v>
      </c>
      <c r="Y9" t="s">
        <v>36</v>
      </c>
      <c r="Z9">
        <f>Z11+Z10</f>
        <v>2048</v>
      </c>
      <c r="AA9">
        <f t="shared" ref="AA9:AC9" si="3">AA11+AA10</f>
        <v>2048</v>
      </c>
      <c r="AB9">
        <f t="shared" si="3"/>
        <v>2048</v>
      </c>
      <c r="AC9">
        <f t="shared" si="3"/>
        <v>2048</v>
      </c>
      <c r="AH9">
        <v>6</v>
      </c>
      <c r="AI9">
        <f t="shared" si="2"/>
        <v>256</v>
      </c>
    </row>
    <row r="10" spans="1:37" ht="18.75" x14ac:dyDescent="0.3">
      <c r="A10" s="25"/>
      <c r="B10" s="25"/>
      <c r="C10" s="25"/>
      <c r="D10" s="28" t="s">
        <v>49</v>
      </c>
      <c r="E10" s="29" t="s">
        <v>50</v>
      </c>
      <c r="F10" s="29" t="s">
        <v>51</v>
      </c>
      <c r="G10" s="29" t="s">
        <v>52</v>
      </c>
      <c r="H10" s="29" t="s">
        <v>10</v>
      </c>
      <c r="I10" s="28" t="s">
        <v>49</v>
      </c>
      <c r="J10" s="42"/>
      <c r="K10" s="42"/>
      <c r="L10" s="36"/>
      <c r="M10" s="36"/>
      <c r="N10" s="36"/>
      <c r="O10" s="36"/>
      <c r="P10" s="25" t="s">
        <v>63</v>
      </c>
      <c r="Q10" s="41">
        <v>3</v>
      </c>
      <c r="R10" s="25" t="s">
        <v>67</v>
      </c>
      <c r="S10" s="25"/>
      <c r="T10" s="25"/>
      <c r="V10" t="b">
        <v>1</v>
      </c>
      <c r="Y10" t="s">
        <v>39</v>
      </c>
      <c r="Z10">
        <v>2048</v>
      </c>
      <c r="AA10">
        <v>2048</v>
      </c>
      <c r="AB10">
        <v>2048</v>
      </c>
      <c r="AC10">
        <v>2048</v>
      </c>
      <c r="AH10">
        <v>7</v>
      </c>
      <c r="AI10">
        <f t="shared" si="2"/>
        <v>512</v>
      </c>
    </row>
    <row r="11" spans="1:37" ht="18.75" x14ac:dyDescent="0.3">
      <c r="A11" s="25"/>
      <c r="B11" s="25"/>
      <c r="C11" s="25"/>
      <c r="D11" s="30">
        <v>1</v>
      </c>
      <c r="E11" s="30">
        <f>Z11</f>
        <v>0</v>
      </c>
      <c r="F11" s="30">
        <f>IF(H11=TRUE(),Z13,0)</f>
        <v>0</v>
      </c>
      <c r="G11" s="30">
        <f>F11-E11</f>
        <v>0</v>
      </c>
      <c r="H11" s="40" t="b">
        <v>1</v>
      </c>
      <c r="I11" s="28" t="s">
        <v>58</v>
      </c>
      <c r="J11" s="27"/>
      <c r="K11" s="27"/>
      <c r="L11" s="49">
        <v>4</v>
      </c>
      <c r="M11" s="49"/>
      <c r="N11" s="27"/>
      <c r="O11" s="31"/>
      <c r="P11" s="25" t="s">
        <v>76</v>
      </c>
      <c r="Q11" s="41">
        <v>3</v>
      </c>
      <c r="R11" s="25"/>
      <c r="S11" s="25"/>
      <c r="T11" s="25"/>
      <c r="X11" t="s">
        <v>46</v>
      </c>
      <c r="Y11" t="s">
        <v>40</v>
      </c>
      <c r="Z11">
        <v>0</v>
      </c>
      <c r="AA11">
        <v>0</v>
      </c>
      <c r="AB11">
        <v>0</v>
      </c>
      <c r="AC11">
        <v>0</v>
      </c>
      <c r="AE11" t="s">
        <v>45</v>
      </c>
      <c r="AF11">
        <v>10</v>
      </c>
      <c r="AH11">
        <v>8</v>
      </c>
      <c r="AI11">
        <f t="shared" si="2"/>
        <v>1024</v>
      </c>
    </row>
    <row r="12" spans="1:37" ht="18.75" x14ac:dyDescent="0.3">
      <c r="A12" s="25"/>
      <c r="B12" s="25"/>
      <c r="C12" s="25"/>
      <c r="D12" s="30">
        <v>2</v>
      </c>
      <c r="E12" s="30">
        <f>AA11</f>
        <v>0</v>
      </c>
      <c r="F12" s="30">
        <f>IF(H12=TRUE(),AA13,0)</f>
        <v>0</v>
      </c>
      <c r="G12" s="30">
        <f t="shared" ref="G12:G14" si="4">F12-E12</f>
        <v>0</v>
      </c>
      <c r="H12" s="40" t="b">
        <v>1</v>
      </c>
      <c r="I12" s="28" t="s">
        <v>59</v>
      </c>
      <c r="J12" s="27"/>
      <c r="K12" s="27"/>
      <c r="L12" s="50">
        <v>3</v>
      </c>
      <c r="M12" s="50"/>
      <c r="N12" s="27"/>
      <c r="O12" s="31"/>
      <c r="P12" s="25"/>
      <c r="Q12" s="25"/>
      <c r="R12" s="25"/>
      <c r="S12" s="25"/>
      <c r="T12" s="25"/>
      <c r="Y12" t="s">
        <v>75</v>
      </c>
      <c r="Z12">
        <v>1500</v>
      </c>
      <c r="AA12">
        <v>3000</v>
      </c>
      <c r="AB12">
        <v>4500</v>
      </c>
      <c r="AC12">
        <v>0</v>
      </c>
    </row>
    <row r="13" spans="1:37" ht="18.75" x14ac:dyDescent="0.3">
      <c r="A13" s="25"/>
      <c r="B13" s="25"/>
      <c r="C13" s="25"/>
      <c r="D13" s="30">
        <v>3</v>
      </c>
      <c r="E13" s="30">
        <f>AB11</f>
        <v>0</v>
      </c>
      <c r="F13" s="30">
        <f>IF(H13=TRUE(),AB13,0)</f>
        <v>0</v>
      </c>
      <c r="G13" s="30">
        <f t="shared" si="4"/>
        <v>0</v>
      </c>
      <c r="H13" s="40" t="b">
        <v>0</v>
      </c>
      <c r="I13" s="28" t="s">
        <v>61</v>
      </c>
      <c r="J13" s="27"/>
      <c r="K13" s="27"/>
      <c r="L13" s="51">
        <v>2</v>
      </c>
      <c r="M13" s="51"/>
      <c r="N13" s="27"/>
      <c r="O13" s="31"/>
      <c r="P13" s="25"/>
      <c r="Q13" s="25"/>
      <c r="R13" s="25"/>
      <c r="S13" s="25"/>
      <c r="T13" s="25"/>
      <c r="Y13" t="s">
        <v>42</v>
      </c>
      <c r="Z13">
        <f>Z6-Z10</f>
        <v>0</v>
      </c>
      <c r="AA13">
        <f t="shared" ref="AA13:AC13" si="5">AA6-AA10</f>
        <v>0</v>
      </c>
      <c r="AB13">
        <f t="shared" si="5"/>
        <v>-2048</v>
      </c>
      <c r="AC13">
        <f t="shared" si="5"/>
        <v>-2048</v>
      </c>
      <c r="AE13" t="s">
        <v>44</v>
      </c>
      <c r="AF13" cm="1">
        <f t="array" ref="AF13">IF(MAX(ABS(Z14:AC14))&gt;AF11,1,0)</f>
        <v>0</v>
      </c>
    </row>
    <row r="14" spans="1:37" ht="18.75" x14ac:dyDescent="0.3">
      <c r="A14" s="25"/>
      <c r="B14" s="25"/>
      <c r="C14" s="25"/>
      <c r="D14" s="30">
        <v>4</v>
      </c>
      <c r="E14" s="30">
        <f>AC11</f>
        <v>0</v>
      </c>
      <c r="F14" s="30">
        <f>IF(H14=TRUE(),AC13,0)</f>
        <v>0</v>
      </c>
      <c r="G14" s="30">
        <f t="shared" si="4"/>
        <v>0</v>
      </c>
      <c r="H14" s="40" t="b">
        <v>0</v>
      </c>
      <c r="I14" s="28" t="s">
        <v>60</v>
      </c>
      <c r="J14" s="27"/>
      <c r="K14" s="27"/>
      <c r="L14" s="52">
        <v>1</v>
      </c>
      <c r="M14" s="52"/>
      <c r="N14" s="27"/>
      <c r="O14" s="31"/>
      <c r="P14" s="25"/>
      <c r="Q14" s="25"/>
      <c r="R14" s="25"/>
      <c r="S14" s="25"/>
      <c r="T14" s="25"/>
      <c r="Y14" t="s">
        <v>43</v>
      </c>
      <c r="Z14">
        <f>IF(H11,ABS(Z11-Z13),0)</f>
        <v>0</v>
      </c>
      <c r="AA14">
        <f>IF(H12,ABS(AA11-AA13),0)</f>
        <v>0</v>
      </c>
      <c r="AB14">
        <f>IF(H13,ABS(AB11-AB13),0)</f>
        <v>0</v>
      </c>
      <c r="AC14">
        <f>IF(H14,ABS(AC11-AC13),0)</f>
        <v>0</v>
      </c>
    </row>
    <row r="15" spans="1:37" x14ac:dyDescent="0.25">
      <c r="A15" s="25"/>
      <c r="B15" s="25"/>
      <c r="C15" s="25"/>
      <c r="D15" s="25"/>
      <c r="E15" s="25"/>
      <c r="F15" s="25"/>
      <c r="G15" s="25"/>
      <c r="H15" s="25"/>
      <c r="I15" s="27"/>
      <c r="J15" s="27"/>
      <c r="K15" s="27"/>
      <c r="L15" s="27"/>
      <c r="M15" s="27"/>
      <c r="N15" s="27"/>
      <c r="O15" s="31"/>
      <c r="P15" s="25"/>
      <c r="Q15" s="25"/>
      <c r="R15" s="25"/>
      <c r="S15" s="25"/>
      <c r="T15" s="25"/>
    </row>
    <row r="16" spans="1:37" ht="21" x14ac:dyDescent="0.35">
      <c r="A16" s="25"/>
      <c r="B16" s="25"/>
      <c r="C16" s="25"/>
      <c r="D16" s="25"/>
      <c r="E16" s="32" t="s">
        <v>53</v>
      </c>
      <c r="F16" s="33">
        <v>0</v>
      </c>
      <c r="G16" s="34">
        <v>1</v>
      </c>
      <c r="H16" s="25"/>
      <c r="I16" s="38" t="s">
        <v>62</v>
      </c>
      <c r="J16" s="46">
        <f>AK4</f>
        <v>1024</v>
      </c>
      <c r="K16" s="46"/>
      <c r="L16" s="31"/>
      <c r="M16" s="31"/>
      <c r="N16" s="31"/>
      <c r="O16" s="31"/>
      <c r="P16" s="25"/>
      <c r="Q16" s="25"/>
      <c r="R16" s="25"/>
      <c r="S16" s="25"/>
      <c r="T16" s="25"/>
      <c r="X16" t="s">
        <v>86</v>
      </c>
      <c r="Z16">
        <v>1</v>
      </c>
      <c r="AA16">
        <v>2</v>
      </c>
      <c r="AB16">
        <v>3</v>
      </c>
      <c r="AC16">
        <v>4</v>
      </c>
      <c r="AE16" t="s">
        <v>87</v>
      </c>
    </row>
    <row r="17" spans="1:31" x14ac:dyDescent="0.25">
      <c r="A17" s="25"/>
      <c r="B17" s="25"/>
      <c r="C17" s="25"/>
      <c r="D17" s="25"/>
      <c r="E17" s="25"/>
      <c r="F17" s="25"/>
      <c r="G17" s="25"/>
      <c r="H17" s="25"/>
      <c r="I17" s="31"/>
      <c r="J17" s="26">
        <f>360*J16/4096</f>
        <v>90</v>
      </c>
      <c r="K17" s="35" t="s">
        <v>65</v>
      </c>
      <c r="L17" s="31"/>
      <c r="M17" s="31"/>
      <c r="N17" s="31"/>
      <c r="O17" s="31"/>
      <c r="P17" s="25"/>
      <c r="Q17" s="25"/>
      <c r="R17" s="25"/>
      <c r="S17" s="25"/>
      <c r="T17" s="25"/>
      <c r="Z17">
        <f>IF(H11,1,0)</f>
        <v>1</v>
      </c>
      <c r="AA17">
        <f>IF(H12,1,0)</f>
        <v>1</v>
      </c>
      <c r="AB17">
        <f>IF(H13,1,0)</f>
        <v>0</v>
      </c>
      <c r="AC17">
        <f>IF(H14,1,0)</f>
        <v>0</v>
      </c>
      <c r="AE17">
        <f>1000*Z17+100*AA17+10*AB17+AC17</f>
        <v>1100</v>
      </c>
    </row>
    <row r="18" spans="1:3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</row>
    <row r="19" spans="1:31" ht="15" customHeight="1" x14ac:dyDescent="0.3">
      <c r="A19" s="25"/>
      <c r="B19" s="25"/>
      <c r="C19" s="25"/>
      <c r="D19" s="53" t="s">
        <v>66</v>
      </c>
      <c r="E19" s="53"/>
      <c r="F19" s="53"/>
      <c r="G19" s="53"/>
      <c r="H19" s="39" t="s">
        <v>58</v>
      </c>
      <c r="I19" s="39" t="s">
        <v>59</v>
      </c>
      <c r="J19" s="39" t="s">
        <v>61</v>
      </c>
      <c r="K19" s="39" t="s">
        <v>60</v>
      </c>
      <c r="L19" s="25"/>
      <c r="M19" s="53" t="s">
        <v>79</v>
      </c>
      <c r="N19" s="53"/>
      <c r="O19" s="53"/>
      <c r="P19" s="39" t="s">
        <v>58</v>
      </c>
      <c r="Q19" s="39" t="s">
        <v>59</v>
      </c>
      <c r="R19" s="39" t="s">
        <v>61</v>
      </c>
      <c r="S19" s="39" t="s">
        <v>60</v>
      </c>
      <c r="T19" s="25"/>
    </row>
    <row r="20" spans="1:31" ht="15" customHeight="1" x14ac:dyDescent="0.25">
      <c r="A20" s="25"/>
      <c r="B20" s="25"/>
      <c r="C20" s="25"/>
      <c r="D20" s="53"/>
      <c r="E20" s="53"/>
      <c r="F20" s="53"/>
      <c r="G20" s="53"/>
      <c r="H20" s="55">
        <v>1600</v>
      </c>
      <c r="I20" s="55">
        <v>1600</v>
      </c>
      <c r="J20" s="55">
        <v>1600</v>
      </c>
      <c r="K20" s="55">
        <v>1600</v>
      </c>
      <c r="L20" s="25"/>
      <c r="M20" s="53"/>
      <c r="N20" s="53"/>
      <c r="O20" s="53"/>
      <c r="P20" s="55">
        <v>1500</v>
      </c>
      <c r="Q20" s="55">
        <v>3000</v>
      </c>
      <c r="R20" s="55">
        <v>4500</v>
      </c>
      <c r="S20" s="55">
        <v>0</v>
      </c>
      <c r="T20" s="25"/>
    </row>
    <row r="21" spans="1:31" ht="15" customHeight="1" x14ac:dyDescent="0.25">
      <c r="A21" s="25"/>
      <c r="B21" s="25"/>
      <c r="C21" s="25"/>
      <c r="D21" s="53"/>
      <c r="E21" s="53"/>
      <c r="F21" s="53"/>
      <c r="G21" s="53"/>
      <c r="H21" s="55"/>
      <c r="I21" s="55"/>
      <c r="J21" s="55"/>
      <c r="K21" s="55"/>
      <c r="L21" s="25"/>
      <c r="M21" s="53"/>
      <c r="N21" s="53"/>
      <c r="O21" s="53"/>
      <c r="P21" s="55"/>
      <c r="Q21" s="55"/>
      <c r="R21" s="55"/>
      <c r="S21" s="55"/>
      <c r="T21" s="25"/>
    </row>
    <row r="22" spans="1:31" ht="15" customHeight="1" x14ac:dyDescent="0.25">
      <c r="A22" s="25"/>
      <c r="B22" s="25"/>
      <c r="C22" s="25"/>
      <c r="D22" s="25"/>
      <c r="E22" s="53" t="s">
        <v>80</v>
      </c>
      <c r="F22" s="53"/>
      <c r="G22" s="54">
        <v>300</v>
      </c>
      <c r="H22" s="54"/>
      <c r="I22" s="45" t="s">
        <v>84</v>
      </c>
      <c r="J22" s="45"/>
      <c r="K22" s="45"/>
      <c r="L22" s="25"/>
      <c r="M22" s="25"/>
      <c r="N22" s="25"/>
      <c r="O22" s="25"/>
      <c r="P22" s="25"/>
      <c r="Q22" s="25"/>
      <c r="R22" s="25"/>
      <c r="S22" s="25"/>
      <c r="T22" s="25"/>
    </row>
    <row r="23" spans="1:31" ht="15" customHeight="1" x14ac:dyDescent="0.25">
      <c r="A23" s="25"/>
      <c r="B23" s="25"/>
      <c r="C23" s="25"/>
      <c r="D23" s="25"/>
      <c r="E23" s="53"/>
      <c r="F23" s="53"/>
      <c r="G23" s="54"/>
      <c r="H23" s="54"/>
      <c r="I23" s="45"/>
      <c r="J23" s="45"/>
      <c r="K23" s="45"/>
      <c r="L23" s="43">
        <f>IF(V10,1,0)</f>
        <v>1</v>
      </c>
      <c r="M23" s="25"/>
      <c r="N23" s="25"/>
      <c r="O23" s="25"/>
      <c r="P23" s="25"/>
      <c r="Q23" s="25"/>
      <c r="R23" s="25"/>
      <c r="S23" s="25"/>
      <c r="T23" s="25"/>
    </row>
    <row r="24" spans="1:31" ht="15" customHeight="1" x14ac:dyDescent="0.25">
      <c r="A24" s="25"/>
      <c r="B24" s="25"/>
      <c r="C24" s="25"/>
      <c r="D24" s="25"/>
      <c r="E24" s="53"/>
      <c r="F24" s="53"/>
      <c r="G24" s="25">
        <f>IF(G22 = 0, "INF",G22*0.229)</f>
        <v>68.7</v>
      </c>
      <c r="H24" s="35" t="s">
        <v>81</v>
      </c>
      <c r="I24" s="45"/>
      <c r="J24" s="45"/>
      <c r="K24" s="45"/>
      <c r="L24" s="25"/>
      <c r="M24" s="25"/>
      <c r="N24" s="25"/>
      <c r="O24" s="25"/>
      <c r="P24" s="25"/>
      <c r="Q24" s="25"/>
      <c r="R24" s="25"/>
      <c r="S24" s="25"/>
      <c r="T24" s="25"/>
    </row>
    <row r="25" spans="1:3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3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3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3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</row>
    <row r="29" spans="1:3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</row>
    <row r="30" spans="1:3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3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3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</row>
  </sheetData>
  <mergeCells count="24">
    <mergeCell ref="E22:F24"/>
    <mergeCell ref="G22:H23"/>
    <mergeCell ref="I22:K24"/>
    <mergeCell ref="S20:S21"/>
    <mergeCell ref="M19:O21"/>
    <mergeCell ref="P20:P21"/>
    <mergeCell ref="Q20:Q21"/>
    <mergeCell ref="R20:R21"/>
    <mergeCell ref="D19:G21"/>
    <mergeCell ref="H20:H21"/>
    <mergeCell ref="I20:I21"/>
    <mergeCell ref="J20:J21"/>
    <mergeCell ref="K20:K21"/>
    <mergeCell ref="A1:T5"/>
    <mergeCell ref="I7:Q8"/>
    <mergeCell ref="J16:K16"/>
    <mergeCell ref="D7:H8"/>
    <mergeCell ref="J9:K9"/>
    <mergeCell ref="O9:S9"/>
    <mergeCell ref="L9:N9"/>
    <mergeCell ref="L11:M11"/>
    <mergeCell ref="L12:M12"/>
    <mergeCell ref="L13:M13"/>
    <mergeCell ref="L14:M14"/>
  </mergeCells>
  <conditionalFormatting sqref="F16">
    <cfRule type="cellIs" dxfId="18" priority="11" operator="equal">
      <formula>$AF$13</formula>
    </cfRule>
  </conditionalFormatting>
  <conditionalFormatting sqref="G16">
    <cfRule type="cellIs" dxfId="17" priority="9" operator="equal">
      <formula>$AF$13</formula>
    </cfRule>
  </conditionalFormatting>
  <conditionalFormatting sqref="L11:M11">
    <cfRule type="cellIs" dxfId="16" priority="6" operator="equal">
      <formula>$V$7</formula>
    </cfRule>
  </conditionalFormatting>
  <conditionalFormatting sqref="L12:M12">
    <cfRule type="cellIs" dxfId="15" priority="5" operator="equal">
      <formula>$V$7</formula>
    </cfRule>
  </conditionalFormatting>
  <conditionalFormatting sqref="L13:M13">
    <cfRule type="cellIs" dxfId="14" priority="3" operator="equal">
      <formula>$V$7</formula>
    </cfRule>
  </conditionalFormatting>
  <conditionalFormatting sqref="L14:M14">
    <cfRule type="cellIs" dxfId="13" priority="2" operator="equal">
      <formula>$V$7</formula>
    </cfRule>
  </conditionalFormatting>
  <conditionalFormatting sqref="L23">
    <cfRule type="cellIs" dxfId="12" priority="1" operator="greaterThan">
      <formula>0</formula>
    </cfRule>
  </conditionalFormatting>
  <pageMargins left="0.7" right="0.7" top="0.75" bottom="0.75" header="0.3" footer="0.3"/>
  <pageSetup paperSize="9" orientation="portrait" r:id="rId1"/>
  <ignoredErrors>
    <ignoredError sqref="F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>
                <anchor moveWithCells="1" sizeWithCells="1">
                  <from>
                    <xdr:col>10</xdr:col>
                    <xdr:colOff>400050</xdr:colOff>
                    <xdr:row>15</xdr:row>
                    <xdr:rowOff>0</xdr:rowOff>
                  </from>
                  <to>
                    <xdr:col>11</xdr:col>
                    <xdr:colOff>219075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Check Box 4">
              <controlPr defaultSize="0" autoFill="0" autoLine="0" autoPict="0">
                <anchor moveWithCells="1">
                  <from>
                    <xdr:col>7</xdr:col>
                    <xdr:colOff>238125</xdr:colOff>
                    <xdr:row>9</xdr:row>
                    <xdr:rowOff>228600</xdr:rowOff>
                  </from>
                  <to>
                    <xdr:col>7</xdr:col>
                    <xdr:colOff>495300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Check Box 6">
              <controlPr defaultSize="0" autoFill="0" autoLine="0" autoPict="0">
                <anchor moveWithCells="1">
                  <from>
                    <xdr:col>7</xdr:col>
                    <xdr:colOff>238125</xdr:colOff>
                    <xdr:row>11</xdr:row>
                    <xdr:rowOff>9525</xdr:rowOff>
                  </from>
                  <to>
                    <xdr:col>7</xdr:col>
                    <xdr:colOff>495300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>
                <anchor moveWithCells="1">
                  <from>
                    <xdr:col>7</xdr:col>
                    <xdr:colOff>238125</xdr:colOff>
                    <xdr:row>12</xdr:row>
                    <xdr:rowOff>9525</xdr:rowOff>
                  </from>
                  <to>
                    <xdr:col>7</xdr:col>
                    <xdr:colOff>495300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Check Box 8">
              <controlPr defaultSize="0" autoFill="0" autoLine="0" autoPict="0">
                <anchor moveWithCells="1">
                  <from>
                    <xdr:col>7</xdr:col>
                    <xdr:colOff>238125</xdr:colOff>
                    <xdr:row>13</xdr:row>
                    <xdr:rowOff>38100</xdr:rowOff>
                  </from>
                  <to>
                    <xdr:col>7</xdr:col>
                    <xdr:colOff>495300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printline">
                <anchor moveWithCells="1" sizeWithCells="1">
                  <from>
                    <xdr:col>14</xdr:col>
                    <xdr:colOff>152400</xdr:colOff>
                    <xdr:row>14</xdr:row>
                    <xdr:rowOff>133350</xdr:rowOff>
                  </from>
                  <to>
                    <xdr:col>19</xdr:col>
                    <xdr:colOff>9525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Spinner 11">
              <controlPr defaultSize="0" autoPict="0">
                <anchor moveWithCells="1" sizeWithCells="1">
                  <from>
                    <xdr:col>13</xdr:col>
                    <xdr:colOff>19050</xdr:colOff>
                    <xdr:row>9</xdr:row>
                    <xdr:rowOff>228600</xdr:rowOff>
                  </from>
                  <to>
                    <xdr:col>13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Check Box 12">
              <controlPr defaultSize="0" autoFill="0" autoLine="0" autoPict="0">
                <anchor moveWithCells="1">
                  <from>
                    <xdr:col>12</xdr:col>
                    <xdr:colOff>28575</xdr:colOff>
                    <xdr:row>21</xdr:row>
                    <xdr:rowOff>171450</xdr:rowOff>
                  </from>
                  <to>
                    <xdr:col>12</xdr:col>
                    <xdr:colOff>352425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0F514-F5AB-414A-9B26-4B92BEB0ABF8}">
  <sheetPr codeName="Sheet6"/>
  <dimension ref="A1:E5"/>
  <sheetViews>
    <sheetView zoomScale="160" zoomScaleNormal="160" workbookViewId="0">
      <selection activeCell="B6" sqref="B6"/>
    </sheetView>
  </sheetViews>
  <sheetFormatPr defaultRowHeight="15" x14ac:dyDescent="0.25"/>
  <sheetData>
    <row r="1" spans="1:5" x14ac:dyDescent="0.25">
      <c r="A1" t="s">
        <v>73</v>
      </c>
      <c r="C1" t="s">
        <v>74</v>
      </c>
    </row>
    <row r="2" spans="1:5" x14ac:dyDescent="0.25">
      <c r="A2" t="s">
        <v>68</v>
      </c>
      <c r="B2" t="s">
        <v>69</v>
      </c>
      <c r="C2" t="s">
        <v>70</v>
      </c>
      <c r="D2" t="s">
        <v>71</v>
      </c>
      <c r="E2" t="s">
        <v>72</v>
      </c>
    </row>
    <row r="3" spans="1:5" ht="15" customHeight="1" x14ac:dyDescent="0.25">
      <c r="A3">
        <v>1</v>
      </c>
      <c r="B3">
        <v>128</v>
      </c>
      <c r="C3">
        <v>-576</v>
      </c>
      <c r="D3">
        <v>1088</v>
      </c>
      <c r="E3">
        <v>192</v>
      </c>
    </row>
    <row r="4" spans="1:5" ht="15" customHeight="1" x14ac:dyDescent="0.25">
      <c r="A4">
        <v>2</v>
      </c>
      <c r="B4">
        <v>-256</v>
      </c>
      <c r="C4">
        <v>512</v>
      </c>
      <c r="D4">
        <v>-832</v>
      </c>
      <c r="E4">
        <v>384</v>
      </c>
    </row>
    <row r="5" spans="1:5" x14ac:dyDescent="0.25">
      <c r="A5">
        <v>3</v>
      </c>
      <c r="B5">
        <v>0</v>
      </c>
      <c r="C5">
        <v>0</v>
      </c>
      <c r="D5">
        <v>0</v>
      </c>
      <c r="E5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F9C16-264D-4C9A-9D97-B5399E949257}">
  <sheetPr codeName="Sheet2"/>
  <dimension ref="A1:K22"/>
  <sheetViews>
    <sheetView workbookViewId="0">
      <selection activeCell="Q8" sqref="Q8"/>
    </sheetView>
  </sheetViews>
  <sheetFormatPr defaultRowHeight="15" x14ac:dyDescent="0.25"/>
  <cols>
    <col min="1" max="1" width="14.7109375" style="1" customWidth="1"/>
    <col min="2" max="11" width="10.7109375" style="1" customWidth="1"/>
    <col min="12" max="12" width="16.7109375" style="1" customWidth="1"/>
    <col min="13" max="14" width="9.140625" style="1" customWidth="1"/>
    <col min="15" max="16384" width="9.140625" style="1"/>
  </cols>
  <sheetData>
    <row r="1" spans="1:11" ht="30.75" x14ac:dyDescent="0.55000000000000004">
      <c r="A1" s="56" t="s">
        <v>89</v>
      </c>
      <c r="B1" s="56"/>
      <c r="C1" s="56"/>
      <c r="D1" s="56"/>
      <c r="E1" s="56"/>
      <c r="F1" s="56"/>
      <c r="G1" s="56"/>
      <c r="H1" s="56"/>
      <c r="I1" s="56"/>
      <c r="J1" s="56"/>
    </row>
    <row r="2" spans="1:11" ht="16.5" x14ac:dyDescent="0.25">
      <c r="A2" s="57" t="s">
        <v>32</v>
      </c>
      <c r="B2" s="57"/>
      <c r="C2" s="57"/>
      <c r="D2" s="57"/>
      <c r="E2" s="57"/>
      <c r="F2" s="57"/>
      <c r="G2" s="57"/>
      <c r="H2" s="57"/>
      <c r="I2" s="57"/>
      <c r="J2" s="57"/>
    </row>
    <row r="3" spans="1:11" ht="33.6" customHeight="1" x14ac:dyDescent="0.35">
      <c r="A3" s="77" t="s">
        <v>33</v>
      </c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x14ac:dyDescent="0.25">
      <c r="A4" s="16" t="s">
        <v>34</v>
      </c>
      <c r="B4" s="16" t="s">
        <v>11</v>
      </c>
      <c r="C4" s="16" t="s">
        <v>13</v>
      </c>
      <c r="D4" s="16" t="s">
        <v>14</v>
      </c>
      <c r="E4" s="16" t="s">
        <v>15</v>
      </c>
      <c r="F4" s="16" t="s">
        <v>16</v>
      </c>
      <c r="G4" s="16" t="s">
        <v>17</v>
      </c>
      <c r="H4" s="16" t="s">
        <v>18</v>
      </c>
      <c r="I4" s="16" t="s">
        <v>19</v>
      </c>
      <c r="J4" s="16" t="s">
        <v>20</v>
      </c>
      <c r="K4" s="16" t="s">
        <v>21</v>
      </c>
    </row>
    <row r="5" spans="1:11" ht="19.5" customHeight="1" x14ac:dyDescent="0.25">
      <c r="A5" s="18">
        <v>45173.693648564818</v>
      </c>
      <c r="B5" s="17">
        <v>0</v>
      </c>
      <c r="C5" s="17">
        <v>0</v>
      </c>
      <c r="D5" s="17">
        <v>0</v>
      </c>
      <c r="E5" s="17">
        <v>2048</v>
      </c>
      <c r="F5" s="17">
        <v>2048</v>
      </c>
      <c r="G5" s="17">
        <v>0</v>
      </c>
      <c r="H5" s="17"/>
      <c r="I5" s="17"/>
      <c r="J5" s="17"/>
      <c r="K5" s="17"/>
    </row>
    <row r="6" spans="1:11" ht="33.6" customHeight="1" x14ac:dyDescent="0.35">
      <c r="A6" s="78" t="s">
        <v>35</v>
      </c>
      <c r="B6" s="78"/>
      <c r="C6" s="78"/>
      <c r="D6" s="78"/>
      <c r="E6" s="78"/>
      <c r="F6" s="78"/>
      <c r="G6" s="78"/>
      <c r="H6" s="78"/>
      <c r="I6" s="78"/>
      <c r="J6" s="78"/>
      <c r="K6" s="78"/>
    </row>
    <row r="7" spans="1:11" x14ac:dyDescent="0.25">
      <c r="A7" s="16" t="s">
        <v>34</v>
      </c>
      <c r="B7" s="16" t="s">
        <v>11</v>
      </c>
      <c r="C7" s="16" t="s">
        <v>13</v>
      </c>
      <c r="D7" s="16" t="s">
        <v>14</v>
      </c>
      <c r="E7" s="16" t="s">
        <v>15</v>
      </c>
      <c r="F7" s="16" t="s">
        <v>16</v>
      </c>
      <c r="G7" s="16" t="s">
        <v>17</v>
      </c>
      <c r="H7" s="16" t="s">
        <v>18</v>
      </c>
      <c r="I7" s="16" t="s">
        <v>19</v>
      </c>
      <c r="J7" s="16" t="s">
        <v>20</v>
      </c>
      <c r="K7" s="16" t="s">
        <v>21</v>
      </c>
    </row>
    <row r="8" spans="1:11" ht="19.5" customHeight="1" x14ac:dyDescent="0.25">
      <c r="A8" s="21">
        <v>45173.693637071759</v>
      </c>
      <c r="B8" s="19">
        <v>0</v>
      </c>
      <c r="C8" s="19">
        <v>0</v>
      </c>
      <c r="D8" s="19">
        <v>0</v>
      </c>
      <c r="E8" s="19">
        <v>2048</v>
      </c>
      <c r="F8" s="19">
        <v>2048</v>
      </c>
      <c r="G8" s="19">
        <v>0</v>
      </c>
      <c r="H8" s="19"/>
      <c r="I8" s="19"/>
      <c r="J8" s="19"/>
      <c r="K8" s="19"/>
    </row>
    <row r="9" spans="1:11" ht="19.5" customHeight="1" x14ac:dyDescent="0.25">
      <c r="A9" s="22">
        <v>45173.693637893521</v>
      </c>
      <c r="B9" s="20">
        <v>0</v>
      </c>
      <c r="C9" s="20">
        <v>0</v>
      </c>
      <c r="D9" s="20">
        <v>0</v>
      </c>
      <c r="E9" s="20">
        <v>2048</v>
      </c>
      <c r="F9" s="20">
        <v>2048</v>
      </c>
      <c r="G9" s="20">
        <v>0</v>
      </c>
      <c r="H9" s="20"/>
      <c r="I9" s="20"/>
      <c r="J9" s="20"/>
      <c r="K9" s="20"/>
    </row>
    <row r="10" spans="1:11" ht="19.5" customHeight="1" x14ac:dyDescent="0.25">
      <c r="A10" s="22">
        <v>45173.693638715275</v>
      </c>
      <c r="B10" s="20">
        <v>0</v>
      </c>
      <c r="C10" s="20">
        <v>0</v>
      </c>
      <c r="D10" s="20">
        <v>0</v>
      </c>
      <c r="E10" s="20">
        <v>2048</v>
      </c>
      <c r="F10" s="20">
        <v>2048</v>
      </c>
      <c r="G10" s="20">
        <v>0</v>
      </c>
      <c r="H10" s="20"/>
      <c r="I10" s="20"/>
      <c r="J10" s="20"/>
      <c r="K10" s="20"/>
    </row>
    <row r="11" spans="1:11" ht="19.5" customHeight="1" x14ac:dyDescent="0.25">
      <c r="A11" s="22">
        <v>45173.693639537036</v>
      </c>
      <c r="B11" s="20">
        <v>0</v>
      </c>
      <c r="C11" s="20">
        <v>0</v>
      </c>
      <c r="D11" s="20">
        <v>0</v>
      </c>
      <c r="E11" s="20">
        <v>2048</v>
      </c>
      <c r="F11" s="20">
        <v>2048</v>
      </c>
      <c r="G11" s="20">
        <v>0</v>
      </c>
      <c r="H11" s="20"/>
      <c r="I11" s="20"/>
      <c r="J11" s="20"/>
      <c r="K11" s="20"/>
    </row>
    <row r="12" spans="1:11" ht="19.5" customHeight="1" x14ac:dyDescent="0.25">
      <c r="A12" s="22">
        <v>45173.693640358797</v>
      </c>
      <c r="B12" s="20">
        <v>0</v>
      </c>
      <c r="C12" s="20">
        <v>0</v>
      </c>
      <c r="D12" s="20">
        <v>0</v>
      </c>
      <c r="E12" s="20">
        <v>2048</v>
      </c>
      <c r="F12" s="20">
        <v>2048</v>
      </c>
      <c r="G12" s="20">
        <v>0</v>
      </c>
      <c r="H12" s="20"/>
      <c r="I12" s="20"/>
      <c r="J12" s="20"/>
      <c r="K12" s="20"/>
    </row>
    <row r="13" spans="1:11" ht="19.5" customHeight="1" x14ac:dyDescent="0.25">
      <c r="A13" s="22">
        <v>45173.693641180558</v>
      </c>
      <c r="B13" s="20">
        <v>0</v>
      </c>
      <c r="C13" s="20">
        <v>0</v>
      </c>
      <c r="D13" s="20">
        <v>0</v>
      </c>
      <c r="E13" s="20">
        <v>2048</v>
      </c>
      <c r="F13" s="20">
        <v>2048</v>
      </c>
      <c r="G13" s="20">
        <v>0</v>
      </c>
      <c r="H13" s="20"/>
      <c r="I13" s="20"/>
      <c r="J13" s="20"/>
      <c r="K13" s="20"/>
    </row>
    <row r="14" spans="1:11" ht="19.5" customHeight="1" x14ac:dyDescent="0.25">
      <c r="A14" s="22">
        <v>45173.693642002312</v>
      </c>
      <c r="B14" s="20">
        <v>0</v>
      </c>
      <c r="C14" s="20">
        <v>0</v>
      </c>
      <c r="D14" s="20">
        <v>0</v>
      </c>
      <c r="E14" s="20">
        <v>2048</v>
      </c>
      <c r="F14" s="20">
        <v>2048</v>
      </c>
      <c r="G14" s="20">
        <v>0</v>
      </c>
      <c r="H14" s="20"/>
      <c r="I14" s="20"/>
      <c r="J14" s="20"/>
      <c r="K14" s="20"/>
    </row>
    <row r="15" spans="1:11" ht="19.5" customHeight="1" x14ac:dyDescent="0.25">
      <c r="A15" s="22">
        <v>45173.693642812497</v>
      </c>
      <c r="B15" s="20">
        <v>0</v>
      </c>
      <c r="C15" s="20">
        <v>0</v>
      </c>
      <c r="D15" s="20">
        <v>0</v>
      </c>
      <c r="E15" s="20">
        <v>2048</v>
      </c>
      <c r="F15" s="20">
        <v>2048</v>
      </c>
      <c r="G15" s="20">
        <v>0</v>
      </c>
      <c r="H15" s="20"/>
      <c r="I15" s="20"/>
      <c r="J15" s="20"/>
      <c r="K15" s="20"/>
    </row>
    <row r="16" spans="1:11" ht="19.5" customHeight="1" x14ac:dyDescent="0.25">
      <c r="A16" s="22">
        <v>45173.693643645835</v>
      </c>
      <c r="B16" s="20">
        <v>0</v>
      </c>
      <c r="C16" s="20">
        <v>0</v>
      </c>
      <c r="D16" s="20">
        <v>0</v>
      </c>
      <c r="E16" s="20">
        <v>2048</v>
      </c>
      <c r="F16" s="20">
        <v>2048</v>
      </c>
      <c r="G16" s="20">
        <v>0</v>
      </c>
      <c r="H16" s="20"/>
      <c r="I16" s="20"/>
      <c r="J16" s="20"/>
      <c r="K16" s="20"/>
    </row>
    <row r="17" spans="1:11" ht="19.5" customHeight="1" x14ac:dyDescent="0.25">
      <c r="A17" s="22">
        <v>45173.693644467596</v>
      </c>
      <c r="B17" s="20">
        <v>0</v>
      </c>
      <c r="C17" s="20">
        <v>0</v>
      </c>
      <c r="D17" s="20">
        <v>0</v>
      </c>
      <c r="E17" s="20">
        <v>2048</v>
      </c>
      <c r="F17" s="20">
        <v>2048</v>
      </c>
      <c r="G17" s="20">
        <v>0</v>
      </c>
      <c r="H17" s="20"/>
      <c r="I17" s="20"/>
      <c r="J17" s="20"/>
      <c r="K17" s="20"/>
    </row>
    <row r="18" spans="1:11" ht="19.5" customHeight="1" x14ac:dyDescent="0.25">
      <c r="A18" s="22">
        <v>45173.69364528935</v>
      </c>
      <c r="B18" s="20">
        <v>0</v>
      </c>
      <c r="C18" s="20">
        <v>0</v>
      </c>
      <c r="D18" s="20">
        <v>0</v>
      </c>
      <c r="E18" s="20">
        <v>2048</v>
      </c>
      <c r="F18" s="20">
        <v>2048</v>
      </c>
      <c r="G18" s="20">
        <v>0</v>
      </c>
      <c r="H18" s="20"/>
      <c r="I18" s="20"/>
      <c r="J18" s="20"/>
      <c r="K18" s="20"/>
    </row>
    <row r="19" spans="1:11" ht="19.5" customHeight="1" x14ac:dyDescent="0.25">
      <c r="A19" s="22">
        <v>45173.693646111111</v>
      </c>
      <c r="B19" s="20">
        <v>0</v>
      </c>
      <c r="C19" s="20">
        <v>0</v>
      </c>
      <c r="D19" s="20">
        <v>0</v>
      </c>
      <c r="E19" s="20">
        <v>2048</v>
      </c>
      <c r="F19" s="20">
        <v>2048</v>
      </c>
      <c r="G19" s="20">
        <v>0</v>
      </c>
      <c r="H19" s="20"/>
      <c r="I19" s="20"/>
      <c r="J19" s="20"/>
      <c r="K19" s="20"/>
    </row>
    <row r="20" spans="1:11" ht="19.5" customHeight="1" x14ac:dyDescent="0.25">
      <c r="A20" s="22">
        <v>45173.693646932872</v>
      </c>
      <c r="B20" s="20">
        <v>0</v>
      </c>
      <c r="C20" s="20">
        <v>0</v>
      </c>
      <c r="D20" s="20">
        <v>0</v>
      </c>
      <c r="E20" s="20">
        <v>2048</v>
      </c>
      <c r="F20" s="20">
        <v>2048</v>
      </c>
      <c r="G20" s="20">
        <v>0</v>
      </c>
      <c r="H20" s="20"/>
      <c r="I20" s="20"/>
      <c r="J20" s="20"/>
      <c r="K20" s="20"/>
    </row>
    <row r="21" spans="1:11" ht="19.5" customHeight="1" x14ac:dyDescent="0.25">
      <c r="A21" s="22">
        <v>45173.693647754626</v>
      </c>
      <c r="B21" s="20">
        <v>0</v>
      </c>
      <c r="C21" s="20">
        <v>0</v>
      </c>
      <c r="D21" s="20">
        <v>0</v>
      </c>
      <c r="E21" s="20">
        <v>2048</v>
      </c>
      <c r="F21" s="20">
        <v>2048</v>
      </c>
      <c r="G21" s="20">
        <v>0</v>
      </c>
      <c r="H21" s="20"/>
      <c r="I21" s="20"/>
      <c r="J21" s="20"/>
      <c r="K21" s="20"/>
    </row>
    <row r="22" spans="1:11" ht="19.5" customHeight="1" x14ac:dyDescent="0.25">
      <c r="A22" s="23">
        <v>45173.693648564818</v>
      </c>
      <c r="B22" s="24">
        <v>0</v>
      </c>
      <c r="C22" s="24">
        <v>0</v>
      </c>
      <c r="D22" s="24">
        <v>0</v>
      </c>
      <c r="E22" s="24">
        <v>2048</v>
      </c>
      <c r="F22" s="24">
        <v>2048</v>
      </c>
      <c r="G22" s="24">
        <v>0</v>
      </c>
      <c r="H22" s="24"/>
      <c r="I22" s="24"/>
      <c r="J22" s="24"/>
      <c r="K22" s="2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0CD3BD24-2ECF-4FC2-AAED-FFC099F9FFE4}"/>
    <dataValidation allowBlank="1" showInputMessage="1" showErrorMessage="1" prompt="TBL_CUR[CH1]" sqref="B5" xr:uid="{3F62F4B5-1FBE-45D6-8D17-2575909B1564}"/>
    <dataValidation allowBlank="1" showInputMessage="1" showErrorMessage="1" prompt="TBL_CUR[CH2]" sqref="C5" xr:uid="{DE4DE5D7-7100-4CBD-8A77-3E6EB050C273}"/>
    <dataValidation allowBlank="1" showInputMessage="1" showErrorMessage="1" prompt="TBL_CUR[CH3]" sqref="D5" xr:uid="{B7BC0A04-B2A2-43F2-B609-01DFBF7BDEB6}"/>
    <dataValidation allowBlank="1" showInputMessage="1" showErrorMessage="1" prompt="TBL_CUR[CH4]" sqref="E5" xr:uid="{6C679D85-3A68-453C-A374-5513E7AB8B97}"/>
    <dataValidation allowBlank="1" showInputMessage="1" showErrorMessage="1" prompt="TBL_CUR[CH5]" sqref="F5" xr:uid="{51ED3208-C8DC-4E9D-837C-948328964C97}"/>
    <dataValidation allowBlank="1" showInputMessage="1" showErrorMessage="1" prompt="TBL_CUR[CH6]" sqref="G5" xr:uid="{87D7205F-2556-4673-A7ED-AA126E82635D}"/>
    <dataValidation allowBlank="1" showInputMessage="1" showErrorMessage="1" prompt="Time_x000d__x000a__x000d__x000a_TBL_HST[TIME]" sqref="A8:A22" xr:uid="{9E4A5419-0CDB-4A13-AF30-44DE8B1863FC}"/>
    <dataValidation allowBlank="1" showInputMessage="1" showErrorMessage="1" prompt="TBL_HST[CH1]" sqref="B8:B22" xr:uid="{73F86F2B-E481-4A83-83CD-7BD147E7CC50}"/>
    <dataValidation allowBlank="1" showInputMessage="1" showErrorMessage="1" prompt="TBL_HST[CH2]" sqref="C8:C22" xr:uid="{0F27CA4D-9C77-4B5B-A09B-26A731E8F46E}"/>
    <dataValidation allowBlank="1" showInputMessage="1" showErrorMessage="1" prompt="TBL_HST[CH3]" sqref="D8:D22" xr:uid="{4D367AA3-3D40-48EF-957D-848E7A66B022}"/>
    <dataValidation allowBlank="1" showInputMessage="1" showErrorMessage="1" prompt="TBL_HST[CH4]" sqref="E8:E22" xr:uid="{8B129901-ADD8-4560-A0CD-AB39D85DC6C5}"/>
    <dataValidation allowBlank="1" showInputMessage="1" showErrorMessage="1" prompt="TBL_HST[CH5]" sqref="F8:F22" xr:uid="{4BAED2CD-8171-4EFC-B2CB-70083416395E}"/>
    <dataValidation allowBlank="1" showInputMessage="1" showErrorMessage="1" prompt="TBL_HST[CH6]" sqref="G8:G22" xr:uid="{965BD56F-CF0E-4017-8E94-2FEA02EC804A}"/>
    <dataValidation allowBlank="1" showInputMessage="1" showErrorMessage="1" prompt="TBL_CUR[CH7]" sqref="H5" xr:uid="{E7198FDA-6FDD-493C-8EA1-BAB5F1FDCCAA}"/>
    <dataValidation allowBlank="1" showInputMessage="1" showErrorMessage="1" prompt="TBL_CUR[CH8]" sqref="I5" xr:uid="{465B9ACA-10BB-4B02-ACAA-460B867FF2B6}"/>
    <dataValidation allowBlank="1" showInputMessage="1" showErrorMessage="1" prompt="TBL_HST[CH7]" sqref="H8:H22" xr:uid="{17379547-95BA-422F-AB4B-D5B22AD9DB76}"/>
    <dataValidation allowBlank="1" showInputMessage="1" showErrorMessage="1" prompt="TBL_HST[CH8]" sqref="I8:I22" xr:uid="{5A8D9BF2-1A45-4C75-94AF-EE321E3A6D0E}"/>
    <dataValidation allowBlank="1" showInputMessage="1" showErrorMessage="1" prompt="TBL_CUR[CH9]" sqref="J5" xr:uid="{37D99866-F619-447F-8EA0-1E8B48592672}"/>
    <dataValidation allowBlank="1" showInputMessage="1" showErrorMessage="1" prompt="TBL_CUR[CH10]" sqref="K5" xr:uid="{DB14E671-CAFB-482C-BC6E-819F7595076E}"/>
    <dataValidation allowBlank="1" showInputMessage="1" showErrorMessage="1" prompt="TBL_HST[CH9]" sqref="J8:J22" xr:uid="{EF3DE34C-336C-4E91-BB8A-59ACADB4BAFF}"/>
    <dataValidation allowBlank="1" showInputMessage="1" showErrorMessage="1" prompt="TBL_HST[CH10]" sqref="K8:K22" xr:uid="{7BA2A14C-5ACB-4B32-911B-9827FF98182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657F2-22CE-449C-97D1-81A994D9E7E1}">
  <sheetPr codeName="Sheet3"/>
  <dimension ref="A1:L5"/>
  <sheetViews>
    <sheetView workbookViewId="0">
      <selection activeCell="A5" sqref="A5"/>
    </sheetView>
  </sheetViews>
  <sheetFormatPr defaultRowHeight="15" x14ac:dyDescent="0.25"/>
  <cols>
    <col min="1" max="12" width="11.5703125" customWidth="1"/>
  </cols>
  <sheetData>
    <row r="1" spans="1:12" ht="30.75" x14ac:dyDescent="0.55000000000000004">
      <c r="A1" s="58" t="s">
        <v>30</v>
      </c>
      <c r="B1" s="58"/>
      <c r="C1" s="58"/>
      <c r="D1" s="58"/>
      <c r="E1" s="58"/>
      <c r="F1" s="58"/>
      <c r="G1" s="58"/>
      <c r="H1" s="58"/>
    </row>
    <row r="2" spans="1:12" ht="16.5" x14ac:dyDescent="0.25">
      <c r="A2" s="59" t="s">
        <v>31</v>
      </c>
      <c r="B2" s="59"/>
      <c r="C2" s="59"/>
      <c r="D2" s="59"/>
      <c r="E2" s="59"/>
      <c r="F2" s="59"/>
      <c r="G2" s="59"/>
      <c r="H2" s="59"/>
    </row>
    <row r="3" spans="1:12" ht="17.45" customHeight="1" x14ac:dyDescent="0.25"/>
    <row r="4" spans="1:12" ht="19.5" customHeight="1" x14ac:dyDescent="0.25">
      <c r="A4" s="75" t="s">
        <v>11</v>
      </c>
      <c r="B4" s="76" t="s">
        <v>13</v>
      </c>
      <c r="C4" s="76" t="s">
        <v>14</v>
      </c>
      <c r="D4" s="76" t="s">
        <v>15</v>
      </c>
      <c r="E4" s="76" t="s">
        <v>16</v>
      </c>
      <c r="F4" s="76" t="s">
        <v>17</v>
      </c>
      <c r="G4" s="76" t="s">
        <v>18</v>
      </c>
      <c r="H4" s="76" t="s">
        <v>19</v>
      </c>
      <c r="I4" s="76" t="s">
        <v>20</v>
      </c>
      <c r="J4" s="76" t="s">
        <v>21</v>
      </c>
      <c r="K4" s="76" t="s">
        <v>82</v>
      </c>
      <c r="L4" s="76" t="s">
        <v>83</v>
      </c>
    </row>
    <row r="5" spans="1:12" ht="27" customHeight="1" x14ac:dyDescent="0.25">
      <c r="A5" s="15">
        <f>Sheet1!V7</f>
        <v>4</v>
      </c>
      <c r="B5" s="15">
        <f>Sheet1!G22</f>
        <v>300</v>
      </c>
      <c r="C5" s="15">
        <f>IF(Sheet1!V10,1,0)</f>
        <v>1</v>
      </c>
      <c r="D5" s="15">
        <f>Sheet1!AE17</f>
        <v>1100</v>
      </c>
      <c r="E5" s="15">
        <f>Sheet1!Z4</f>
        <v>2048</v>
      </c>
      <c r="F5" s="15">
        <f>Sheet1!AA4</f>
        <v>2048</v>
      </c>
      <c r="G5" s="15">
        <f>Sheet1!AB4</f>
        <v>2048</v>
      </c>
      <c r="H5" s="15">
        <f>Sheet1!AC4</f>
        <v>2048</v>
      </c>
      <c r="I5" s="15">
        <f>Sheet1!Z5</f>
        <v>1600</v>
      </c>
      <c r="J5" s="15">
        <f>Sheet1!AA5</f>
        <v>1600</v>
      </c>
      <c r="K5" s="15">
        <f>Sheet1!AB5</f>
        <v>1600</v>
      </c>
      <c r="L5" s="15">
        <f>Sheet1!AC5</f>
        <v>1600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1B5FE-C3CF-43B3-A7A4-D1DE04B63839}">
  <sheetPr codeName="Sheet4"/>
  <dimension ref="A1:E13"/>
  <sheetViews>
    <sheetView workbookViewId="0">
      <selection activeCell="C9" sqref="C9"/>
    </sheetView>
  </sheetViews>
  <sheetFormatPr defaultRowHeight="15" x14ac:dyDescent="0.25"/>
  <cols>
    <col min="1" max="1" width="30.7109375" style="12" customWidth="1"/>
    <col min="2" max="2" width="0.140625" style="12" customWidth="1"/>
    <col min="3" max="3" width="30.7109375" style="12" customWidth="1"/>
    <col min="4" max="16384" width="9.140625" style="12"/>
  </cols>
  <sheetData>
    <row r="1" spans="1:5" ht="30.75" x14ac:dyDescent="0.55000000000000004">
      <c r="A1" s="60" t="s">
        <v>22</v>
      </c>
      <c r="B1" s="60"/>
      <c r="C1" s="60"/>
      <c r="D1" s="60"/>
      <c r="E1" s="60"/>
    </row>
    <row r="2" spans="1:5" ht="50.1" customHeight="1" x14ac:dyDescent="0.25">
      <c r="A2" s="61" t="s">
        <v>23</v>
      </c>
      <c r="B2" s="61"/>
      <c r="C2" s="61"/>
      <c r="D2" s="61"/>
      <c r="E2" s="61"/>
    </row>
    <row r="3" spans="1:5" ht="4.5" customHeight="1" x14ac:dyDescent="0.25"/>
    <row r="4" spans="1:5" ht="24" customHeight="1" x14ac:dyDescent="0.25">
      <c r="A4" s="74" t="s">
        <v>24</v>
      </c>
      <c r="B4" s="13">
        <v>150</v>
      </c>
      <c r="C4" s="14">
        <v>150</v>
      </c>
    </row>
    <row r="5" spans="1:5" ht="4.5" customHeight="1" x14ac:dyDescent="0.25"/>
    <row r="6" spans="1:5" ht="24" customHeight="1" x14ac:dyDescent="0.25">
      <c r="A6" s="74" t="s">
        <v>25</v>
      </c>
      <c r="B6" s="13">
        <v>15</v>
      </c>
      <c r="C6" s="14">
        <v>15</v>
      </c>
    </row>
    <row r="7" spans="1:5" ht="4.5" customHeight="1" x14ac:dyDescent="0.25"/>
    <row r="8" spans="1:5" ht="24" customHeight="1" x14ac:dyDescent="0.25">
      <c r="A8" s="74" t="s">
        <v>26</v>
      </c>
      <c r="B8" s="13">
        <v>10</v>
      </c>
      <c r="C8" s="14">
        <v>10</v>
      </c>
    </row>
    <row r="9" spans="1:5" ht="4.5" customHeight="1" x14ac:dyDescent="0.25"/>
    <row r="10" spans="1:5" ht="24" customHeight="1" x14ac:dyDescent="0.25">
      <c r="A10" s="74" t="s">
        <v>27</v>
      </c>
      <c r="B10" s="13" t="s">
        <v>28</v>
      </c>
      <c r="C10" s="14" t="s">
        <v>28</v>
      </c>
    </row>
    <row r="13" spans="1:5" ht="50.1" customHeight="1" x14ac:dyDescent="0.25">
      <c r="A13" s="62" t="s">
        <v>29</v>
      </c>
      <c r="B13" s="62"/>
      <c r="C13" s="62"/>
      <c r="D13" s="62"/>
      <c r="E13" s="62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02186A0B-5E1C-49EC-8BE5-B0C56932B11D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30AD5C4D-445B-40C5-81E7-351E534C6112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4F9C5B76-B9F5-4F78-82F6-FA213676C4C7}">
      <formula1>1</formula1>
      <formula2>1000</formula2>
    </dataValidation>
    <dataValidation type="list" errorStyle="information" allowBlank="1" showInputMessage="1" sqref="C10" xr:uid="{D6E0A5D2-D06D-4DBA-B860-7E8342C230F8}">
      <formula1>"Newest first,Newest last"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2794-C3F0-45AF-B8B7-38AA84D3E050}">
  <sheetPr codeName="Sheet5"/>
  <dimension ref="A1:L18"/>
  <sheetViews>
    <sheetView workbookViewId="0">
      <selection activeCell="I10" sqref="I10"/>
    </sheetView>
  </sheetViews>
  <sheetFormatPr defaultRowHeight="15" x14ac:dyDescent="0.25"/>
  <cols>
    <col min="1" max="2" width="3.7109375" style="2" customWidth="1"/>
    <col min="3" max="3" width="14.7109375" style="2" customWidth="1"/>
    <col min="4" max="4" width="18.7109375" style="2" customWidth="1"/>
    <col min="5" max="5" width="60.7109375" style="2" customWidth="1"/>
    <col min="6" max="6" width="16.7109375" style="2" customWidth="1"/>
    <col min="7" max="7" width="12.7109375" style="2" customWidth="1"/>
    <col min="8" max="8" width="9.140625" style="2"/>
    <col min="9" max="9" width="16.7109375" style="2" customWidth="1"/>
    <col min="10" max="10" width="60.7109375" style="2" customWidth="1"/>
    <col min="11" max="16384" width="9.140625" style="2"/>
  </cols>
  <sheetData>
    <row r="1" spans="1:12" ht="30.75" x14ac:dyDescent="0.55000000000000004">
      <c r="A1" s="63" t="s">
        <v>4</v>
      </c>
      <c r="B1" s="63"/>
      <c r="C1" s="63"/>
      <c r="D1" s="63"/>
      <c r="E1" s="63"/>
      <c r="F1" s="63"/>
      <c r="G1" s="63"/>
      <c r="L1" s="68" t="s">
        <v>90</v>
      </c>
    </row>
    <row r="2" spans="1:12" ht="48" customHeight="1" x14ac:dyDescent="0.25">
      <c r="A2" s="64" t="s">
        <v>5</v>
      </c>
      <c r="B2" s="64"/>
      <c r="C2" s="64"/>
      <c r="D2" s="64"/>
      <c r="E2" s="64"/>
      <c r="F2" s="64"/>
      <c r="G2" s="64"/>
    </row>
    <row r="3" spans="1:12" ht="26.1" customHeight="1" x14ac:dyDescent="0.5">
      <c r="B3" s="66" t="s">
        <v>0</v>
      </c>
      <c r="C3" s="66"/>
      <c r="D3" s="66"/>
      <c r="E3" s="66"/>
      <c r="F3" s="66"/>
      <c r="G3" s="66"/>
      <c r="H3" s="66"/>
    </row>
    <row r="4" spans="1:12" ht="26.1" customHeight="1" x14ac:dyDescent="0.3">
      <c r="B4" s="65"/>
      <c r="C4" s="65"/>
      <c r="D4" s="65"/>
      <c r="E4" s="65"/>
      <c r="F4" s="65"/>
      <c r="G4" s="65"/>
      <c r="I4" s="69" t="s">
        <v>1</v>
      </c>
      <c r="J4" s="69"/>
    </row>
    <row r="5" spans="1:12" ht="24" customHeight="1" x14ac:dyDescent="0.25">
      <c r="B5" s="72"/>
      <c r="C5" s="3" t="s">
        <v>6</v>
      </c>
      <c r="D5" s="3" t="s">
        <v>7</v>
      </c>
      <c r="E5" s="3" t="s">
        <v>8</v>
      </c>
      <c r="F5" s="3" t="s">
        <v>9</v>
      </c>
      <c r="G5" s="3" t="s">
        <v>10</v>
      </c>
      <c r="I5" s="70" t="s">
        <v>88</v>
      </c>
      <c r="J5" s="70"/>
      <c r="K5" s="68">
        <v>1</v>
      </c>
    </row>
    <row r="6" spans="1:12" ht="24" customHeight="1" x14ac:dyDescent="0.3">
      <c r="B6" s="72"/>
      <c r="C6" s="73" t="s">
        <v>11</v>
      </c>
      <c r="D6" s="5" t="s">
        <v>11</v>
      </c>
      <c r="E6" s="5"/>
      <c r="F6" s="5"/>
      <c r="G6" s="4" t="s">
        <v>12</v>
      </c>
      <c r="I6" s="69" t="s">
        <v>2</v>
      </c>
      <c r="J6" s="69"/>
    </row>
    <row r="7" spans="1:12" ht="24" customHeight="1" x14ac:dyDescent="0.25">
      <c r="B7" s="72"/>
      <c r="C7" s="7" t="s">
        <v>13</v>
      </c>
      <c r="D7" s="8" t="s">
        <v>13</v>
      </c>
      <c r="E7" s="8"/>
      <c r="F7" s="8"/>
      <c r="G7" s="6" t="s">
        <v>12</v>
      </c>
      <c r="I7" s="71">
        <v>150</v>
      </c>
    </row>
    <row r="8" spans="1:12" ht="24" customHeight="1" x14ac:dyDescent="0.3">
      <c r="B8" s="72"/>
      <c r="C8" s="7" t="s">
        <v>14</v>
      </c>
      <c r="D8" s="8" t="s">
        <v>14</v>
      </c>
      <c r="E8" s="8"/>
      <c r="F8" s="8"/>
      <c r="G8" s="6" t="s">
        <v>12</v>
      </c>
      <c r="I8" s="69" t="s">
        <v>3</v>
      </c>
      <c r="J8" s="69"/>
    </row>
    <row r="9" spans="1:12" ht="24" customHeight="1" x14ac:dyDescent="0.25">
      <c r="B9" s="72"/>
      <c r="C9" s="7" t="s">
        <v>15</v>
      </c>
      <c r="D9" s="8" t="s">
        <v>15</v>
      </c>
      <c r="E9" s="8"/>
      <c r="F9" s="8"/>
      <c r="G9" s="6" t="s">
        <v>12</v>
      </c>
      <c r="I9" s="71">
        <v>9600</v>
      </c>
    </row>
    <row r="10" spans="1:12" ht="24" customHeight="1" x14ac:dyDescent="0.25">
      <c r="B10" s="72"/>
      <c r="C10" s="7" t="s">
        <v>16</v>
      </c>
      <c r="D10" s="8" t="s">
        <v>16</v>
      </c>
      <c r="E10" s="8"/>
      <c r="F10" s="8"/>
      <c r="G10" s="6" t="s">
        <v>12</v>
      </c>
    </row>
    <row r="11" spans="1:12" ht="24" customHeight="1" x14ac:dyDescent="0.25">
      <c r="B11" s="72"/>
      <c r="C11" s="7" t="s">
        <v>17</v>
      </c>
      <c r="D11" s="8" t="s">
        <v>17</v>
      </c>
      <c r="E11" s="8"/>
      <c r="F11" s="8"/>
      <c r="G11" s="6" t="s">
        <v>12</v>
      </c>
    </row>
    <row r="12" spans="1:12" ht="24" customHeight="1" x14ac:dyDescent="0.25">
      <c r="B12" s="72"/>
      <c r="C12" s="7" t="s">
        <v>18</v>
      </c>
      <c r="D12" s="8" t="s">
        <v>18</v>
      </c>
      <c r="E12" s="8"/>
      <c r="F12" s="8"/>
      <c r="G12" s="6" t="s">
        <v>12</v>
      </c>
    </row>
    <row r="13" spans="1:12" ht="24" customHeight="1" x14ac:dyDescent="0.25">
      <c r="B13" s="72"/>
      <c r="C13" s="7" t="s">
        <v>19</v>
      </c>
      <c r="D13" s="8" t="s">
        <v>19</v>
      </c>
      <c r="E13" s="8"/>
      <c r="F13" s="8"/>
      <c r="G13" s="6" t="s">
        <v>12</v>
      </c>
    </row>
    <row r="14" spans="1:12" ht="24" customHeight="1" x14ac:dyDescent="0.25">
      <c r="B14" s="72"/>
      <c r="C14" s="7" t="s">
        <v>20</v>
      </c>
      <c r="D14" s="8" t="s">
        <v>20</v>
      </c>
      <c r="E14" s="8"/>
      <c r="F14" s="8"/>
      <c r="G14" s="6" t="s">
        <v>12</v>
      </c>
    </row>
    <row r="15" spans="1:12" ht="24" customHeight="1" thickBot="1" x14ac:dyDescent="0.3">
      <c r="B15" s="67"/>
      <c r="C15" s="9" t="s">
        <v>21</v>
      </c>
      <c r="D15" s="10" t="s">
        <v>21</v>
      </c>
      <c r="E15" s="10"/>
      <c r="F15" s="10"/>
      <c r="G15" s="11" t="s">
        <v>12</v>
      </c>
    </row>
    <row r="16" spans="1:12" ht="26.1" customHeight="1" thickTop="1" x14ac:dyDescent="0.25">
      <c r="B16" s="1"/>
      <c r="C16" s="1"/>
      <c r="D16" s="1"/>
      <c r="E16" s="1"/>
      <c r="F16" s="1"/>
      <c r="G16" s="1"/>
      <c r="H16" s="1"/>
    </row>
    <row r="17" spans="2:8" ht="24" customHeight="1" x14ac:dyDescent="0.25">
      <c r="B17" s="1"/>
      <c r="C17" s="1"/>
      <c r="D17" s="1"/>
      <c r="E17" s="1"/>
      <c r="F17" s="1"/>
      <c r="G17" s="1"/>
      <c r="H17" s="1"/>
    </row>
    <row r="18" spans="2:8" ht="24" customHeight="1" x14ac:dyDescent="0.25">
      <c r="B18" s="1"/>
      <c r="C18" s="1"/>
      <c r="D18" s="1"/>
      <c r="E18" s="1"/>
      <c r="F18" s="1"/>
      <c r="G18" s="1"/>
      <c r="H18" s="1"/>
    </row>
  </sheetData>
  <mergeCells count="9">
    <mergeCell ref="I4:J4"/>
    <mergeCell ref="I5:J5"/>
    <mergeCell ref="I6:J6"/>
    <mergeCell ref="I8:J8"/>
    <mergeCell ref="A1:G1"/>
    <mergeCell ref="A2:G2"/>
    <mergeCell ref="B4:G4"/>
    <mergeCell ref="B3:H3"/>
    <mergeCell ref="B5:B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PROGRAM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이성진</dc:creator>
  <cp:lastModifiedBy>SJLee</cp:lastModifiedBy>
  <dcterms:created xsi:type="dcterms:W3CDTF">2023-04-04T06:51:06Z</dcterms:created>
  <dcterms:modified xsi:type="dcterms:W3CDTF">2023-09-04T07:39:42Z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c64244d1-f3be-4650-af42-30d0f6749398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